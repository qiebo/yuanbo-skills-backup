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525"/>
  </bookViews>
  <sheets>
    <sheet name="配置清单" sheetId="1" r:id="rId1"/>
    <sheet name="未匹配需求汇总" sheetId="2" r:id="rId2"/>
  </sheets>
  <definedNames>
    <definedName name="_xlnm.Print_Titles" localSheetId="0">配置清单!$1:$2</definedName>
    <definedName name="_xlnm.Print_Area" localSheetId="0">配置清单!$A$1:$N$100</definedName>
    <definedName name="_xlnm.Print_Area" localSheetId="1">未匹配需求汇总!$A$1:$H$13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<sst xmlns="http://schemas.openxmlformats.org/spreadsheetml/2006/main" count="477" uniqueCount="210">
  <si>
    <t>安康二中生涯心理学生发展中心配置清单</t>
  </si>
  <si>
    <t>序号</t>
  </si>
  <si>
    <t>空间/功能室</t>
  </si>
  <si>
    <t>品目</t>
  </si>
  <si>
    <t>技术参数</t>
  </si>
  <si>
    <t>产品图片</t>
  </si>
  <si>
    <t>单位</t>
  </si>
  <si>
    <t>数量</t>
  </si>
  <si>
    <t>市场单价（元）</t>
  </si>
  <si>
    <t>市场总价（元）</t>
  </si>
  <si>
    <t>代理单价（元）</t>
  </si>
  <si>
    <t>代理总价（元）</t>
  </si>
  <si>
    <t>成本单价（元）</t>
  </si>
  <si>
    <t>成本总价（元）</t>
  </si>
  <si>
    <t>备注</t>
  </si>
  <si>
    <t>1、演讲厅/报告厅</t>
  </si>
  <si>
    <t>演讲厅/报告厅</t>
  </si>
  <si>
    <t>文件柜</t>
  </si>
  <si>
    <t>存放办公文件资料等；1.产品尺寸：；1200*400*2000 1个 ；800*400*2000  1个；2.颜色：暖白色；3.层数：5层；4.材质：环保板材、钢化玻璃</t>
  </si>
  <si>
    <t>套</t>
  </si>
  <si>
    <t>图纸对应：储物柜；替代匹配；以成品文件柜替代施工定制储物柜，尺寸与饰面需深化确认</t>
  </si>
  <si>
    <t>吸顶式智能安全音响</t>
  </si>
  <si>
    <t>吸顶式智能安全音响 ；1.扬声器指向性：360 度等声压均匀全指向覆盖。 ；2.全无线连接，设备仅需供电，人声采集和设备多媒体播放均为数字无线通讯。 ；3.支持蓝牙无线接收，方便老师分享移动设备（手机/电脑）上的音频，蓝牙支持密码 ；模式，防止学生连接。 ；4.主机标配无线耳挂麦克风，支持笔型手持麦克风、领夹麦克风及电容强指向麦克风。（确保能同时支持两个领夹麦克风、一个手持麦克风、一个头戴麦克风等同时使用） ；5.支持微信小程序或 APP 调节设备总音量、话筒音量、切换输入音源，也可单独调节 ；每个喇叭单元音量。 ；6.为保证教室内各个位置的听感一致，要求室内各学生座位测量点的稳态声压级最大 ；值与最小值差值范围为 4dB 之内。；7. 为保证教师授课过程中扩声语音的清晰度，扩声系统语言传输指数（STIPA）：应 ；大于 0.6；8.为保证师生的听觉的安全健康声压，学生座位的听音面(1.2 米等高线位置)最大声 ；压级应小于 82 dB(A) ；9.音箱一体化设计，内置 4 只发声单元在独立的腔体中以下俯 35°角向四周辐射声 ；能。 ；10.产品支持吸顶式安装；免调试设计，开机即用。</t>
  </si>
  <si>
    <t>图纸对应：音响系统；替代匹配；以产品库吸顶音响替代报告厅音响系统；功率、覆盖与数量需声场深化</t>
  </si>
  <si>
    <t>常态录播系统</t>
  </si>
  <si>
    <t>将日常教学场景下的常态化录播与远程互动功能相结合的教育信息化。其核心特点是：在不改变教师日常授课习惯的前提下，既能本地录制完整课程，又能实现跨教室、跨校区的实时音视频互动。；互动录播主机、双目4K教师摄像机、双目4K学生摄像机、阵列麦克风。</t>
  </si>
  <si>
    <t>图纸对应：录播设备；直接匹配</t>
  </si>
  <si>
    <t>讲台</t>
  </si>
  <si>
    <t>教师上课使用；1.产品尺寸：高1130mm，最大宽度600mm；2.产品材质：多层实木板</t>
  </si>
  <si>
    <t>个</t>
  </si>
  <si>
    <t>图纸对应：讲台；直接匹配</t>
  </si>
  <si>
    <t>桌子</t>
  </si>
  <si>
    <t>家校共育中心桌子，桌面宽敞，满足家校共育活动中资料摆放、互动交流等需求。；1.产品尺寸：1200*600*750mm；2.桌面材质：E1级环保免漆板材；3.桌板厚度：25mm</t>
  </si>
  <si>
    <t>图纸对应：滑轮桌子；替代匹配；按已确认口径暂配1组；产品尺寸与图纸1400×600不完全一致，需深化</t>
  </si>
  <si>
    <t>椅子</t>
  </si>
  <si>
    <t>学生进行生涯或心理测评使用；1、尺寸约：530mm*490mm*810mm（误差≦30mm）；2、材质：钢木结构；3、色彩：原木色；4、半软包椅面</t>
  </si>
  <si>
    <t>把</t>
  </si>
  <si>
    <t>图纸对应：椅子；直接匹配</t>
  </si>
  <si>
    <t>翻板椅</t>
  </si>
  <si>
    <t>学生上课使用；1.产品尺寸：860mm*500mm*570mm；2.产品材质；高密度网布：透气清爽，平滑有致；加厚原生海绵：久坐不易塌陷；广西桉木板：E1级板材，绿色环保</t>
  </si>
  <si>
    <t>图纸对应：排椅；替代匹配；以团辅场景翻板椅替代排椅，连排安装方式需深化；产品库适用空间/功能标签缺失，已获项目级豁免</t>
  </si>
  <si>
    <t>吊装显示屏</t>
  </si>
  <si>
    <t/>
  </si>
  <si>
    <t>台</t>
  </si>
  <si>
    <t>产品库暂无可靠匹配；技术参数、市场价、成本价、代理价及各总价留空，不参与合计。</t>
  </si>
  <si>
    <t>LED大屏</t>
  </si>
  <si>
    <t>电动布艺窗帘</t>
  </si>
  <si>
    <t>演讲厅/报告厅小计</t>
  </si>
  <si>
    <t>含3条未匹配需求，不计金额</t>
  </si>
  <si>
    <t>2、机房</t>
  </si>
  <si>
    <t>机房</t>
  </si>
  <si>
    <t>机柜</t>
  </si>
  <si>
    <t>机房小计</t>
  </si>
  <si>
    <t>含1条未匹配需求，不计金额</t>
  </si>
  <si>
    <t>3、校园医务室</t>
  </si>
  <si>
    <t>校园医务室</t>
  </si>
  <si>
    <t>86寸触控一体机</t>
  </si>
  <si>
    <t>1957×1170×98，57kg；深空灰，红外触摸，4K屏幕，双系统（win10+Android13.0-8核4+32G），高色准（E≤1.5），主摄视场角142°且水平视场角121°-500w居中广角摄像头800W，三摄融合视场角142°且水平视场角139°1600W。（支持巡课、人数统计、随机抽选、人脸登录账号、环境色温判断），8阵列麦克风，含2.2声道60W上边框音箱，AI空间感知音效，独立音频CPU处理器+3A降噪算法，硬件防蓝光，音视频投屏全功能Type-C，蓝牙5.4、双WIFI6,支持WIFI直连+超声波传屏，支持提笔即写、手笔分离、动态压感，内置NFC模块。</t>
  </si>
  <si>
    <t>图纸对应：触控一体机；直接匹配；产品库适用空间/功能标签缺失，已获项目级豁免</t>
  </si>
  <si>
    <t>校园医务室小计</t>
  </si>
  <si>
    <t>4、情绪调节室</t>
  </si>
  <si>
    <t>情绪调节室</t>
  </si>
  <si>
    <t>地面软椅</t>
  </si>
  <si>
    <t>团体辅导室围坐分享、冥想放松所用。；1.产品尺寸：540*480*520mm；2.产品材质：雪尼尔面料+公仔棉填充物；3.靠背90°-180°大角度调节，轻松坐、躺。</t>
  </si>
  <si>
    <t>图纸对应：懒人沙发；替代匹配；以柔性地面坐具替代懒人沙发</t>
  </si>
  <si>
    <t>图纸对应：书柜；替代匹配；以文件柜替代书柜，开放格/门板形式需确认</t>
  </si>
  <si>
    <t>生涯翼站</t>
  </si>
  <si>
    <t>一、产品模块包含：AI生涯规划师、AI模拟面试、自我探索、学职探索、海外院校、生涯工具箱、AI心语伙伴、心理咨询预约、漂流瓶、反馈建议、管理后台。；1.AI生涯规划师；①赋能生涯发展，AI定制规划；1)前沿AI技术应用：融合大语言模型等先进人工智能技术。；2)关键数据深度整合：含各大院校和专业的招生计划、历年录取分数线等。；3)个性化生涯指导：结合学生提问与测评结果，量身打造生涯规划方案。；②多元升学路径；1)留学生涯规划：为海外留学提供多元化升学路径规划，满足学生个性化需求。；2)国际课程概览：提供AP/A Level/IB/OSSD/BC课程。；3)多维度对话引导：进行生活和文化适应、签证和法律问题、录取成功率等全方位沟通；2.AI模拟面试（打造真实场景，积累实战经验）；①AI模拟真实面试场景：虚拟考官高度还原真实面试场景流程。；②目标高校定向模拟：支持选择春考（春考只对上海地区开放）、综评、强基计划不同面试形式，选择心仪高校、专业类别定向训练。；③AI面试报告：结合学生面试回答情况，出具个性化报告，针对性提升面试表达。；3.自我探索（解锁个人特质，定制未来规划）；①三大生涯测评解锁学生特质：霍兰德兴趣测评、MBTI性格测评、多元智能测评。；②六大模块勾勒学生生涯画像：个人兴趣特征、 性格角色解读、未来专业方向、职业领域推荐、个性化评价与寄语、生涯关键词云图。；4.学职探索（学职联动，探索可视化）；独创“七大学职群”构建职业-专业-大学立交桥：以图谱式信息库检索，助力学生形成……（参数摘录）</t>
  </si>
  <si>
    <t>图纸对应：生涯翼站；直接匹配；推荐含空调双人静音舱版本</t>
  </si>
  <si>
    <t>宣泄器材</t>
  </si>
  <si>
    <t>1、宣泄人总高度：160CM-180CM可调；（1）主题高度：90CM;肩宽50CM；（2）颜色：蓝色；（3）重量：≥20KG；（4）产品设计：全硅胶宣泄人造型美观，质感细腻，弹性可以模拟人体肌肉，在搏击中不仅能享受搏击时的快感，更能释放高节奏生活及社会竞争带来的压力，同时具备健身训练和减压阀的多重功能，是心理咨询师最佳的辅助器材和宣泄室必备的宣泄器材。；（5）可击打发声，利用低电压震动系统，能够在极低的震动下做出响应，来访者在击打的时候可以随机发出7种不同的幽默语句，使得趣味性提高，来访者在进行体力宣泄的时候开怀大笑。转移来访者的注意力，将心中不悦的情绪最大程度释放。；（6）底座：采用注沙底座，不但增加了产品的稳定性，还有效保护适用场所的地面材料。筒式吸盘抓地设计，配8个吸盘，安装方便，使用更安全。；2、立式宣泄球（2个）， 产品材质：落地式.  产品特点：明显提升宣泄的效果。；3、宣泄棒：2根，PVC材质一体成型；4、宣泄手套（3套），国标；5、宣泄抱枕：2个；6、宣泄面罩：10个；7、宣泄挂图，4幅，PVC材质；8、宣泄室制度，1幅，PVC材质</t>
  </si>
  <si>
    <t>图纸对应：基础宣泄设备；替代匹配；对应基础宣泄设备</t>
  </si>
  <si>
    <t>体感运动宣泄系统</t>
  </si>
  <si>
    <t>1、主要功能： ；1) 该系统根据最佳强度的运动改善交感神经和副交感神经系统平衡作用以及“人机互动”方式、单片机设计原理，运用无侵入传感器技术，动态实时反馈心动指标（H-SPORT），结合“呐喊”为主题的训练模块的新型智能互动运动宣泄设备，指导用户在运动中将自身调节到最佳的运动强度状态，从而达到有效的身心调节和放松。；2) 系统包含运动探险、障碍跑酷、砸金蛋、太空漫步、泡泡乐、奔跑吧小猴、跑步向前进、疯狂滑板车、快乐骑行（呐喊版）、呐喊宣泄、档案管理等核心功能模块。；3) 智能引导：根据理性情绪疗法，顺应运动中自主神经系统的情况，按照运动宣泄——呐喊宣泄——档案管理三步骤，引导用户进行情绪调适。；4)运动减压区：两种不良情绪最佳运动方式，匹配相应的游戏场景，在游戏挑战中，实现健康的运动。；5)呐喊宣泄区来访者通过呐喊和骑行的方式，消除宣泄者焦虑、紧张、自卑等不良负面影响，引导宣泄者积极、向上，进而帮助宣泄者建立自信、找回自我。；6)实时采集生理指标，H-SPORT实时呈现，并自动调节游戏难度，引导健康运动，达到有效实现心理疏导效果。；7)依据不同的调适方案，在行进的全过程中，蹬踏的阻力根据场景需求的无级变化。；8)自动生成图文并茂的专业报告，并实现一键导出打印。；2、系统构成：本系统由八部分组成，包括：控制系统、多触点显示屏、显示屏支架、骑行控制模块、心率监测模块、声音组件及运动单车等组成；3、硬件参数：；1) 运动单车：最大负荷 ≤120kg；单车阻力等级 1～8档变化；可分别……（参数摘录）</t>
  </si>
  <si>
    <t>图纸对应：体感运动宣泄系统；直接匹配</t>
  </si>
  <si>
    <t>智能呐喊宣泄系统</t>
  </si>
  <si>
    <t>功能简介：；智能呐喊宣泄系统是利用呐喊的形式来释放心理压力、缓解情绪的设备。软件可在PC端单机运行（有无网络均可）。通过智能数据分析，自动生成报告，让来访者对心理认知更加明确，并及时提供专业的心理辅导建议。；一、硬件部分：电源机柜一组：材质：前壳钢化玻璃、侧面铝型材、机身冷扎板。显示屏：≥42寸LED液晶显示屏，红外触摸功能，支持windows系统。；二、软件内容：由八个模块组成：呐喊宣泄、趣味小芽、指导训练、聆听自然、心理图片、情绪疏导、语音指导、心灵FM。；1、呐喊宣泄：五款互动宣泄训练游戏，九款趣味宣泄训练游戏。游戏结束后给出相应报告。；1.1动物森林：整个场景效果看起来非常真实，借鉴于套圈游戏，6种动物随声音变化被套圈，最后计算出每种小动物总得分。；1.2芙蓉盛开：含苞待放的芙蓉随着声音强度得上升，慢慢盛开，芙蓉之美在于那一份真诚的心灵，不急不躁，不慌不忙，展示了生命的活力和美丽。同时，声音下降，芙蓉也会缓缓闭合。；1.3毛球之旅：通过声音强度大小控制毛球前进速度和跳跃时间，本关卡提供了不同场景的体验。；1.4气球升空：设置倒计时间，气球随着声音的变化而变化，上升的过程，如果声音持续变大，气球会爆炸。；1.5烟火星空：通过一声声呐喊来控制烟花开放的高度，以星空为卷，众多颜色的烟花光芒四射，如同打破了沉闷的天空，给人轻盈和温馨，温暖在人间。；1.6呐喊方块：通过来访者的声音控制，方块会不断下落，如不能及时摆放好，规定时间内得分会较低，本游戏可以提高空间感知能力和反应能力，同……（参数摘录）</t>
  </si>
  <si>
    <t>图纸对应：智能呐喊宣泄系统；直接匹配</t>
  </si>
  <si>
    <t>情绪调节室小计</t>
  </si>
  <si>
    <t>5、接待大厅</t>
  </si>
  <si>
    <t>接待大厅</t>
  </si>
  <si>
    <t>接待小圆桌</t>
  </si>
  <si>
    <t>主要用于接待来访学生及家长会谈用。；1.产品颜色：白色|原木色；2.产品尺寸：直径800mm，高度570-770mm升降；3.产品板材：密度板/纤维板</t>
  </si>
  <si>
    <t>图纸对应：小圆桌；直接匹配</t>
  </si>
  <si>
    <t>双面沙发圆桌套装</t>
  </si>
  <si>
    <t>生涯大厅接待休闲沙发套装，包含异形双面沙发1套及小圆桌2个。；含异形双面沙发*1套；1.产品尺寸：3000*1400*760mm；2.面料采用磨砂绒；3.产品材质采用高回弹海绵；配套小圆桌*2个；1.产品尺寸：直径500mm，高570mm；2.材质采用岩板桌面，碳素钢脚架</t>
  </si>
  <si>
    <t>图纸对应：双面沙发；直接匹配；产品为双面沙发与圆桌成套配置</t>
  </si>
  <si>
    <t>数智画框基础版</t>
  </si>
  <si>
    <t>硬件；1.屏幕规格：不低于32英寸类纸护眼屏；2.分辨率：不低于1920×1080；3.可视角度：不低于178°；4.护眼认证：效减少有害蓝光强度，通过德国莱茵 TÜV 权威机构护眼认证；5. 外框材质：实木/环保木质复合框架；6.接口扩展：输入HDMI ×1、USB×2（支持供电+数据传输）、网络：Wi-Fi 、RJ45网口、电源：100-240V宽电压适配；软件；内容：；1.预装五大系列文化内容库（科学、文学、心理、艺术、学科），≥43套名人名言；科学探索：涵盖物理、生物、天文等领域；文学哲思：作家名言、作家生平与创作背景解析；心理成长：心理专家名言赏析；艺术启迪：涵盖音乐、美术等领域；学科领域：数学、化学、地理等</t>
  </si>
  <si>
    <t>图纸对应：数智画框；直接匹配；推荐基础展示版；产品库适用空间/功能标签缺失，已获项目级豁免</t>
  </si>
  <si>
    <t>数智人一体机</t>
  </si>
  <si>
    <t>65寸触摸屏交互设备；1.高清：采用高清16:9全视角LCD显示屏，分辨率为3840*2160；2.超薄：工业级外观，设计合理，稳固结实，整体机身厚66.9mm。；3.工艺：前框航空级铝材，机身采用金属喷涂的五金冷轧钢板，表面3mm钢化玻璃；4.触控：超稳定红外方案，触摸精度高，响应迅速；5.显示尺寸：65英寸；6.亮    度：≥300cd/m2；7.背光类型：E-LED；8.色彩度：16.7M（8-bit）；9.工作频率：60HZ；10.触控点数：10点触摸；11.响应时间：&lt;8ms；12.CPU：八核，主频2.4G；13.运行内存：8G；14.存储内存：128GB；15.系统版本：Android 12；16.输入电压：AC100-240V；17.工作功率：≦100W；数字人基础能力：；1、支持背景图更换；2、可视化操作支持页面操作，降低操作人员按照门槛和难度。可视化操作界面设计简洁、易懂。；3、支持知识库内容批量导入；4、支持大模型知识问答；5、支持语音交互问答</t>
  </si>
  <si>
    <t>图纸对应：数智人一体机；直接匹配；两种供应型号同价，当前推荐深圳德普型号；产品库适用空间/功能标签缺失，已获项目级豁免</t>
  </si>
  <si>
    <t>内嵌100寸大屏</t>
  </si>
  <si>
    <t>宣传手册架</t>
  </si>
  <si>
    <t>监控机柜</t>
  </si>
  <si>
    <t>监控系统</t>
  </si>
  <si>
    <t>接待大厅小计</t>
  </si>
  <si>
    <t>含4条未匹配需求，不计金额</t>
  </si>
  <si>
    <t>6、办公室</t>
  </si>
  <si>
    <t>办公室</t>
  </si>
  <si>
    <t>文化挂图</t>
  </si>
  <si>
    <t>展示学生发展中心的核心价值观和精神，文化内容包含生涯发展介绍、心理教育氛围烘托等。；1.产品尺寸：600mm*800mm；2.产品材质：10mmPVC+3mm亚克力面板+UV；3.产品版权：上海远播教育科技股份有限公司独家版权；登记号：渝作登字-2022-L-10086022</t>
  </si>
  <si>
    <t>图纸对应：文化挂图；直接匹配</t>
  </si>
  <si>
    <t>图纸对应：文件柜；直接匹配</t>
  </si>
  <si>
    <t>教师办公桌</t>
  </si>
  <si>
    <t>教师日常办公使用；1.产品尺寸：2000*1800*750mm；2.产品材质：实木桌；3.组成：一桌一柜，含一组桌面电源；4.风格：北欧枫木；5.环保要求：E1级及以上</t>
  </si>
  <si>
    <t>图纸对应：办公桌椅；拆分匹配；办公桌椅拆分为产品库两项；图纸桌面1500×700需核对</t>
  </si>
  <si>
    <t>教师办公椅</t>
  </si>
  <si>
    <t>教师日常办公使用；1.头枕：PP固定头枕，网布加宽设计；2.椅背：PP背框；3.椅座：12mm座板，定型绵，弹力布座布；4.底盘：原位锁定蝴蝶底盘；5.扶手：PP连体固定扶手；6.气杆：行程100mm沉口50mm三级气杆；7.椅脚：340mmPP五星脚；8.椅轮：60/25黑色PA轮</t>
  </si>
  <si>
    <t>图纸对应：办公桌椅；拆分匹配；办公桌椅拆分为产品库两项</t>
  </si>
  <si>
    <t>办公室小计</t>
  </si>
  <si>
    <t>7、个体辅导室1/家庭辅导室</t>
  </si>
  <si>
    <t>个体辅导室1/家庭辅导室</t>
  </si>
  <si>
    <t>接待沙发（三人）</t>
  </si>
  <si>
    <t>提高办公室舒适性及接待来访者（多色可选）；尺寸：2100*850*840mm；1.面料：加厚PVC，厚度为1.2mm，耐磨性强。；2.座+背海绵：高密度纯海绵，密度为45，回弹性高，坐感舒适。；3.沙发内架：50*30mm实木架，木方经四面刨方和高温烘干，耐用，耐腐蚀。；4.沙发弹簧：沙发坐垫内有立式弹簧架，弹簧加大3.8，且加了坚固带。使沙发更具回弹性和抗老性，增加沙发的会谈持久性和使用寿命。；5.脚架：厚度是1.5mm，经抛光打磨后，更具耐腐蚀性和美观性。；6.沙发外形：设计符合人体工程学原理，舒适度好，轻奢休闲。</t>
  </si>
  <si>
    <t>图纸对应：沙发茶几；拆分匹配；沙发茶几套装拆分配置</t>
  </si>
  <si>
    <t>茶几</t>
  </si>
  <si>
    <t>用于放置物品；1.腿部为榉木，扎实稳固；2.圆盘防水处理；3.产品尺寸：Φ715*490mm；4.产品材质：榉木；5.颜色：白；6.风格：北欧简约</t>
  </si>
  <si>
    <t>时钟+亚克力造型字</t>
  </si>
  <si>
    <t>时钟+亚克力造型字；（一）亚克力文字制作；1.产品尺寸：定制；2.产品内容：文化标语；3.产品材质：5mm亚克力雕刻；（二）文化钟表；1.产品尺寸：20英寸；2.图案：数字；3.材质：木；4.机芯类型：扫秒机芯；5.动力类型：电池；6.表盘材质：木质</t>
  </si>
  <si>
    <t>图纸对应：时钟+亚克力字；直接匹配</t>
  </si>
  <si>
    <t>落地台灯</t>
  </si>
  <si>
    <t>落地台灯，提供柔和、舒适的光照环境。；1.产品尺寸：250*1575*405mm；2.功率：24W；3.光色：三色变光；4.主要材质：铝合金+铁艺底盘</t>
  </si>
  <si>
    <t>图纸对应：温馨台灯；替代匹配；以落地台灯替代温馨台灯</t>
  </si>
  <si>
    <t>个体辅导室1/家庭辅导室小计</t>
  </si>
  <si>
    <t>8、团体活动室</t>
  </si>
  <si>
    <t>团体活动室</t>
  </si>
  <si>
    <t>梯形拼接桌</t>
  </si>
  <si>
    <t>3—6个单体桌子组成一套，用于普通授课及小组讨论。；1.产品尺寸：；形状：梯形；上底：600mm ；下底：1200mm ；桌面深度：520mm；厚度：25mm；桌高：750mm；桌脚直径：50mm；2.产品材质：E1环保板材+钢结构</t>
  </si>
  <si>
    <t>图纸对应：滑轮组合桌椅；拆分匹配；按已确认口径暂配1组，实际桌数待深化；产品库适用空间/功能标签缺失，已获项目级豁免</t>
  </si>
  <si>
    <t>图纸对应：滑轮组合桌椅；拆分匹配；按已确认口径暂配1组，实际椅数待深化</t>
  </si>
  <si>
    <t>智慧黑板</t>
  </si>
  <si>
    <t>最大外形尺寸：4200×1200×106mm（含凸出部分）；主体外形尺寸：4200×1195×90mm（不含凸出部分）；银灰色，4K屏幕，双系统（win10+Android14.0），高色准（E≤1），主摄视场角142°且水平视场角121°-500w，三摄融合视场角142°且水平视场角139°1600W。（支持巡课、人数统计、随机抽选、人脸登录账号、环境色温判断），8阵列麦克风，含2.2声道60W上边框音箱，AI空间感知音效，独立音频CPU处理器+3A降噪算法，硬件防蓝光，音视频投屏全功能Type-C，蓝牙5.4、双WIFI6,支持WIFI直连+超声波传屏，支持提笔即写、手笔分离、动态压感。</t>
  </si>
  <si>
    <t>图纸对应：智慧黑板；直接匹配</t>
  </si>
  <si>
    <t>图纸对应：矮柜；替代匹配；以成品文件柜替代施工制作矮柜</t>
  </si>
  <si>
    <t>定制毛毡板</t>
  </si>
  <si>
    <t>块</t>
  </si>
  <si>
    <t>团体活动室小计</t>
  </si>
  <si>
    <t>9、家庭辅导室/个体辅导室2</t>
  </si>
  <si>
    <t>家庭辅导室/个体辅导室2</t>
  </si>
  <si>
    <t>图纸对应：大L型沙发；拆分替代；以三人沙发和单人沙发组合替代L型沙发</t>
  </si>
  <si>
    <t>接待沙发（单人）</t>
  </si>
  <si>
    <t>提高办公室舒适性及接待来访者（多色可选）；尺寸：900*850*840；1.面料：加厚PVC，厚度为1.2mm，耐磨性强。；2.座+背海绵：高密度纯海绵，密度为45，回弹性高，坐感舒适。；3.沙发内架：50*30mm实木架，木方经四面刨方和高温烘干，耐用，耐腐蚀。；4.沙发弹簧：沙发坐垫内有立式弹簧架，弹簧加大3.8，且加了坚固带。使沙发更具回弹性和抗老性，增加沙发的会谈持久性和使用寿命。；5.脚架：厚度是1.5mm，经抛光打磨后，更具耐腐蚀性和美观性。；6.沙发外形：设计符合人体工程学原理，舒适度好，轻奢休闲。</t>
  </si>
  <si>
    <t>图纸对应：大L型沙发；拆分替代；组合转角形式需深化</t>
  </si>
  <si>
    <t>图纸对应：单人沙发；直接匹配</t>
  </si>
  <si>
    <t>家庭教育文化墙</t>
  </si>
  <si>
    <t>家校共育，携手同行文化墙；1.建议尺寸：2400mm*1200mm（实际尺寸根据现场情况定制）；2.产品材质：10mmPVC+3mm亚克力面板+UV；3.产品内容：营造温暖、协作的家校共育文化氛围，助力学生健康成长。</t>
  </si>
  <si>
    <t>平米</t>
  </si>
  <si>
    <t>图纸对应：心理文化展示；替代匹配；按图纸2400×1200折算2.88平方米</t>
  </si>
  <si>
    <t>家庭辅导室/个体辅导室2小计</t>
  </si>
  <si>
    <t>10、沙盘治疗室/个体辅导室3</t>
  </si>
  <si>
    <t>沙盘治疗室/个体辅导室3</t>
  </si>
  <si>
    <t>图纸对应：休闲桌椅；拆分匹配；休闲桌椅暂按1桌配置</t>
  </si>
  <si>
    <t>接待座椅</t>
  </si>
  <si>
    <t>主要用于接待来访学生及家长会谈用。；1.产品尺寸：850*750*930mm；2.产品填充物：高密度海绵</t>
  </si>
  <si>
    <t>图纸对应：休闲桌椅；拆分匹配；休闲桌椅暂按2椅配置，数量需确认</t>
  </si>
  <si>
    <t>心理沙盘</t>
  </si>
  <si>
    <t>1、设备简介；沙盘设备、材质、工艺达到质检与认证标准。；2、设备组成；沙具3000件+个体沙箱2个+团体沙盘1个+陈列架6个+海沙60公斤+心理指导手册1本+沙盘管理系统1套+辅助工具1套（沙刷、沙耙、沙框、洒水壶）。；3、详细介绍；（1）沙具：由大到小四级分类全面深入，包括人物、建筑物、动物、植物、食品果实、家具生活用品、交通工具、宇宙天体、自然景观等10大类，57小类。每个沙具类别下包括各种原型象征物；根据用户需求使用国家标准环保树脂、塑料、ABS、铁艺、油漆、陶瓷、树脂、木质、塑胶、搪胶、泥质等材质，严格执行打磨、清漆、上色、哑光漆等生产工艺步骤。；（2）个体实木沙箱：材质：实木。标准沙盘，技术参数：57×72×7 cm，干湿两用。箱庭的箱子，箱子内侧底与边框均漆成海蓝色。；（3）团体实木沙箱：材质：实木。标准沙盘，技术参数：114×72×10cm，干湿两用。箱庭的箱子，箱子内侧底与边框均漆成海蓝色。；（4）实木沙箱腿：高度65-75CM，材质：实木。沙箱架高度采取独特人性化设计，根据来访者年龄特点不同，支架高度有差异；支架摆放灵活，操作方便，便于放置，不占用太多空间。；（5）实木陈列架： 1600×800×300MM，5层9阶。全实木材质，经过严格的流水线生产：底漆、涂蜡、喷漆、干燥、打磨、抛光等多道手续，设计美观大方，手感光滑。；（6）天然海沙：精选优质海沙，大小在10目-15目左右，颗粒均匀、色泽柔和、清洁卫生。；（7）心理沙盘进行心理教育、心理咨询、心理辅导的管理软……（参数摘录）</t>
  </si>
  <si>
    <t>图纸对应：大沙盘架、沙盘模型柜、小沙盘架；组合替代；一套含团体沙箱1、个体沙箱2、陈列架6及沙具3000件，可覆盖大/小沙盘架与模型柜需求</t>
  </si>
  <si>
    <t>电子沙盘</t>
  </si>
  <si>
    <t>3D心理数字沙盘系统，又称为电子心理沙盘系统，主要功能是帮助受测者（学生）完成心理沙盘制作，自动给出分析报告，辅助心理沙盘咨询师完成心理沙盘辅导与治疗工作。；【硬件参数】；1、机柜：①内部构件电镀，具备防锈、防磁、防静电效果；②具备多媒体功放，配置VGA输出接口；③全钢1.5mm模具制造，表面铝合金拉丝电镀烤漆；④独立电源管理；⑤桌面规格:127*55*62cm。；2、交互触摸数控式硬件显示器： 32寸液晶屏；抗光性能强；防爆触摸屏，抗磨损，免维护，寿命长。①对比度:1400︰1；②可视角:178°(H)/178°(V)；③物理分辨率:1920*1080；④亮度:400cd/㎡；⑤屏幕比例:16︰9；⑥响应时间:5ms。；【软件参数】；1、心理沙具；(1)不少于 1280 个 3D 沙具，包括：人物类≥249 个， 动物类≥150，植物类≥125，建筑物类≥96，景观类≥50，交通运输类≥113，家具类≥327，食物类≥126， 石头及其他种类≥49。；(2)任一沙具不仅可以进行拖动.旋转.移动，还可以 删除，同时系统自动记录沙具编号、名称、位置。；2、沙盘环境操作与设置：包含草地、河流、山地、湖泊、雪地、冰地、干地、绿洲、沙漠，沙箱场景不少于 10 种。在场景中，可以升降地面，调节水位高度，改变天气状态，至少包含晴天、多云、阴天、 日出、日落、黄昏、黑天。；(1)通过地形编辑器（地形刷）对场景地形进行上升 （凸起造山）、下降（洼陷造湖）、平坦（回填复原）等创造性制作场景，也可以……（参数摘录）</t>
  </si>
  <si>
    <t>图纸对应：电子沙盘；直接匹配；推荐32寸电子心理沙盘</t>
  </si>
  <si>
    <t>沙盘治疗室/个体辅导室3小计</t>
  </si>
  <si>
    <t>11、音乐放松室</t>
  </si>
  <si>
    <t>音乐放松室</t>
  </si>
  <si>
    <t>投影仪</t>
  </si>
  <si>
    <t>1.亮度≥6300流明；2. 对比度≥100000:1；3. 支持接口： HDMI1.4、USB-A、RJ45、RS232；Audio out；4. 支持通过设置，实现上电开机或者上电待机功能；5.单机分辨率≥1920*1200；6.光源寿命≥20000小时</t>
  </si>
  <si>
    <t>图纸对应：投影仪；直接匹配；产品库适用空间/功能标签缺失，已获项目级豁免</t>
  </si>
  <si>
    <t>图纸对应：音响；替代匹配；以吸顶式音响替代图纸音响套装，数量及声场需深化</t>
  </si>
  <si>
    <t>图纸对应：茶几；直接匹配</t>
  </si>
  <si>
    <t>图纸对应：边几；替代匹配；产品库无边几，以小型茶几替代；尺寸需确认</t>
  </si>
  <si>
    <t>智能生物反馈音乐放松系统</t>
  </si>
  <si>
    <t>产品设计要点：；在轻松、安静的氛围中，通过音乐来调节人体的紧张状态，帮助老师和学生放松心情、缓解疲劳，同时，音乐中的α波能通过共振方式脑波调节到α波状态，对消除学生和老师常见的悲观、压抑、不安、恐惧等不良情绪有很好的辅助作用。；部件描述：；一、放松椅：人体工程学设计的外形，电动可收缩折叠，浅色真皮外套，音乐体感。；二、沙发靠背内置心理学专用音响系统，失真度（THD):〈5% at 0.1W/1KHz，声压灵敏度（SPL）:100±3(dB)at 0.1W/0.05m ，音乐保真性强，提高神经放松程度。 ；三、按摩技术：通过遥控器控制震动按摩，对臀部，腰部，背部，颈部震动按摩，多种智能开启模式，通过特殊设计波形和频率的震动刺人体激神经系统，促使大脑分泌各种有益于健康的活性物质（如内啡呔等），调整植物神经功能，增强Alpha波活动，减少Delta波活动，影响和改善异常的脑电波，并使得大脑产生能够调节人的情绪和改善疾病的神经递质和激素，从而对焦虑、抑郁、失眠起到有效地缓解作用。；四、系统将进入耳朵的音乐声控制在20-42分贝范围左右，并通过特殊设计波形和频率刺激人体神经系统，促使大脑分泌各种有益于健康的活性物质（如内啡呔等），调整植物神经功能，增强Alpha波活动，减少Delta波活动，影响和改善异常的脑电波，并使得大脑产生能够调节人的情绪和改善疾病的神经递质和激素，从而对焦虑、抑郁、失眠起到有效地缓解作用。；五、通过采集人体的生理指标来反映人体的心理状态。依据生物反馈原理，采用游戏、……（参数摘录）</t>
  </si>
  <si>
    <t>图纸对应：音乐放松设备；替代匹配；以带生物反馈的音乐放松系统替代泛称设备</t>
  </si>
  <si>
    <t>风景墙布</t>
  </si>
  <si>
    <t>营造舒缓氛围的风景墙布，清新淡雅的森林氛围，使人感到放松自然。；1.产品尺寸：实际尺寸根据现场情况定制；2.产品材质：墙布；3.产品内容：以清新淡雅的森林风景为主题，营造舒缓自然的空间氛围，帮助师生放松身心、缓解压力。</t>
  </si>
  <si>
    <t>图纸对应：风景墙布；直接匹配；按图纸3690×2400折算8.856平方米</t>
  </si>
  <si>
    <t>小型香薰机</t>
  </si>
  <si>
    <t>音乐放松室小计</t>
  </si>
  <si>
    <t>12、项目级·通用</t>
  </si>
  <si>
    <t>项目级·通用</t>
  </si>
  <si>
    <t>学生测评软件(首年建制费）</t>
  </si>
  <si>
    <t>以国际经典量表为基础，由生涯教育智库研发的本土化量表，系统包含兴趣、能力、性格、生涯发展水平、学习生活适应性、21世纪核心素养“五力”测评。</t>
  </si>
  <si>
    <t>项目级通用软件；首年建制费；自有品牌</t>
  </si>
  <si>
    <t>学职信息软件(首年建制费）</t>
  </si>
  <si>
    <t>为学生做生涯决策时提供的外部探索参考信息。包含大学库、专业库、职业库、选科查询、学职群、升学路径，帮助其进行科学决策。</t>
  </si>
  <si>
    <t>教辅资源软件(首年建制费）</t>
  </si>
  <si>
    <t>提供针对初高中全程生涯教育课程、生涯探索课程资料包，包括视频、课件、教案和教具，帮助广大生涯教师顺利开课。</t>
  </si>
  <si>
    <t>学生成长档案软件(首年建制费）</t>
  </si>
  <si>
    <t>是学生学习成长发展的记录载体，帮助学校进行学生发展数据积累。帮助导师更好地了解学生特长和兴趣优势，提高辅导效率。</t>
  </si>
  <si>
    <t>项目级·通用小计</t>
  </si>
  <si>
    <t>合计</t>
  </si>
  <si>
    <t>编制说明：已删除小团体辅导室/冥想室及其设备；市场单价采用产品库市场价，代理单价采用渠道价，成本单价采用成本价。代理价列位于市场总价后、成本价前。产品库未匹配的图纸需求已插入对应空间末尾，并同步汇总至“未匹配需求汇总”工作表；技术参数及三类价格留空且不参与金额合计。厂商及型号不在正式表中展示，详见内部产品映射。</t>
  </si>
  <si>
    <t>安康二中生涯心理学生发展中心未匹配需求汇总</t>
  </si>
  <si>
    <t>图纸需求</t>
  </si>
  <si>
    <t>未匹配原因</t>
  </si>
  <si>
    <t>处理说明</t>
  </si>
  <si>
    <t>产品库无吊装显示屏类产品</t>
  </si>
  <si>
    <t>已在主清单对应空间末尾列示；不计入金额合计。</t>
  </si>
  <si>
    <t>产品库无LED大屏产品；保留图纸6米长度要求</t>
  </si>
  <si>
    <t>产品库仅有按平方米计价的文化窗帘，图纸未给窗帘面积，暂不换算</t>
  </si>
  <si>
    <t>产品库无服务器/网络机柜；文件柜不具备等效功能</t>
  </si>
  <si>
    <t>产品库无100寸内嵌大屏</t>
  </si>
  <si>
    <t>产品库无宣传手册架</t>
  </si>
  <si>
    <t>产品库无监控专用机柜</t>
  </si>
  <si>
    <t>产品库无视频监控系统</t>
  </si>
  <si>
    <t>产品库无定制毛毡板；保留4800×1200尺寸</t>
  </si>
  <si>
    <t>产品库无定制毛毡板；保留2400×1200尺寸</t>
  </si>
  <si>
    <t>产品库无香薰机</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</si>
</sst>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Red]\(#,##0.00\);\-"/>
  </numFmts>
  <fonts count="26">
    <font>
      <sz val="11"/>
      <color theme="1"/>
      <name val="宋体"/>
      <charset val="134"/>
      <scheme val="minor"/>
    </font>
    <font>
      <b/>
      <sz val="14"/>
      <color rgb="FFFFFFFF"/>
      <name val="Microsoft YaHei"/>
      <charset val="134"/>
    </font>
    <font>
      <b/>
      <sz val="10"/>
      <color rgb="FFFFFFFF"/>
      <name val="Microsoft YaHei"/>
      <charset val="134"/>
    </font>
    <font>
      <sz val="9"/>
      <color rgb="FF000000"/>
      <name val="Microsoft YaHei"/>
      <charset val="134"/>
    </font>
    <font>
      <b/>
      <sz val="16"/>
      <color theme="1"/>
      <name val="宋体"/>
      <charset val="134"/>
      <scheme val="minor"/>
    </font>
    <font>
      <b/>
      <sz val="11"/>
      <color theme="1"/>
      <name val="宋体"/>
      <charset val="134"/>
      <scheme val="minor"/>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1F4E78"/>
        <bgColor indexed="64"/>
      </patternFill>
    </fill>
    <fill>
      <patternFill patternType="solid">
        <fgColor rgb="FF5B9BD5"/>
        <bgColor indexed="64"/>
      </patternFill>
    </fill>
    <fill>
      <patternFill patternType="solid">
        <fgColor rgb="FFFCE4D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rgb="FFB7B7B7"/>
      </left>
      <right style="thin">
        <color rgb="FFB7B7B7"/>
      </right>
      <top style="thin">
        <color rgb="FFB7B7B7"/>
      </top>
      <bottom style="thin">
        <color rgb="FFB7B7B7"/>
      </bottom>
      <diagonal/>
    </border>
    <border>
      <left/>
      <right/>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7" fillId="0" borderId="0">
      <alignment vertical="center"/>
    </xf>
    <xf numFmtId="0" fontId="8" fillId="0" borderId="0">
      <alignment vertical="center"/>
    </xf>
    <xf numFmtId="0" fontId="0" fillId="5" borderId="6">
      <alignment vertical="center"/>
    </xf>
    <xf numFmtId="0" fontId="9" fillId="0" borderId="0">
      <alignment vertical="center"/>
    </xf>
    <xf numFmtId="0" fontId="10" fillId="0" borderId="0">
      <alignment vertical="center"/>
    </xf>
    <xf numFmtId="0" fontId="11" fillId="0" borderId="0">
      <alignment vertical="center"/>
    </xf>
    <xf numFmtId="0" fontId="12" fillId="0" borderId="7">
      <alignment vertical="center"/>
    </xf>
    <xf numFmtId="0" fontId="13" fillId="0" borderId="7">
      <alignment vertical="center"/>
    </xf>
    <xf numFmtId="0" fontId="14" fillId="0" borderId="8">
      <alignment vertical="center"/>
    </xf>
    <xf numFmtId="0" fontId="14" fillId="0" borderId="0">
      <alignment vertical="center"/>
    </xf>
    <xf numFmtId="0" fontId="15" fillId="6" borderId="9">
      <alignment vertical="center"/>
    </xf>
    <xf numFmtId="0" fontId="16" fillId="7" borderId="10">
      <alignment vertical="center"/>
    </xf>
    <xf numFmtId="0" fontId="17" fillId="7" borderId="9">
      <alignment vertical="center"/>
    </xf>
    <xf numFmtId="0" fontId="18" fillId="8" borderId="11">
      <alignment vertical="center"/>
    </xf>
    <xf numFmtId="0" fontId="19" fillId="0" borderId="12">
      <alignment vertical="center"/>
    </xf>
    <xf numFmtId="0" fontId="20" fillId="0" borderId="13">
      <alignment vertical="center"/>
    </xf>
    <xf numFmtId="0" fontId="21" fillId="9" borderId="0">
      <alignment vertical="center"/>
    </xf>
    <xf numFmtId="0" fontId="22" fillId="10" borderId="0">
      <alignment vertical="center"/>
    </xf>
    <xf numFmtId="0" fontId="23" fillId="11" borderId="0">
      <alignment vertical="center"/>
    </xf>
    <xf numFmtId="0" fontId="24" fillId="12" borderId="0">
      <alignment vertical="center"/>
    </xf>
    <xf numFmtId="0" fontId="25" fillId="13" borderId="0">
      <alignment vertical="center"/>
    </xf>
    <xf numFmtId="0" fontId="25" fillId="14" borderId="0">
      <alignment vertical="center"/>
    </xf>
    <xf numFmtId="0" fontId="24" fillId="15" borderId="0">
      <alignment vertical="center"/>
    </xf>
    <xf numFmtId="0" fontId="24" fillId="16" borderId="0">
      <alignment vertical="center"/>
    </xf>
    <xf numFmtId="0" fontId="25" fillId="17" borderId="0">
      <alignment vertical="center"/>
    </xf>
    <xf numFmtId="0" fontId="25" fillId="18" borderId="0">
      <alignment vertical="center"/>
    </xf>
    <xf numFmtId="0" fontId="24" fillId="19" borderId="0">
      <alignment vertical="center"/>
    </xf>
    <xf numFmtId="0" fontId="24" fillId="20" borderId="0">
      <alignment vertical="center"/>
    </xf>
    <xf numFmtId="0" fontId="25" fillId="21" borderId="0">
      <alignment vertical="center"/>
    </xf>
    <xf numFmtId="0" fontId="25" fillId="22" borderId="0">
      <alignment vertical="center"/>
    </xf>
    <xf numFmtId="0" fontId="24" fillId="23" borderId="0">
      <alignment vertical="center"/>
    </xf>
    <xf numFmtId="0" fontId="24" fillId="24" borderId="0">
      <alignment vertical="center"/>
    </xf>
    <xf numFmtId="0" fontId="25" fillId="25" borderId="0">
      <alignment vertical="center"/>
    </xf>
    <xf numFmtId="0" fontId="25" fillId="26" borderId="0">
      <alignment vertical="center"/>
    </xf>
    <xf numFmtId="0" fontId="24" fillId="27" borderId="0">
      <alignment vertical="center"/>
    </xf>
    <xf numFmtId="0" fontId="24" fillId="28" borderId="0">
      <alignment vertical="center"/>
    </xf>
    <xf numFmtId="0" fontId="25" fillId="29" borderId="0">
      <alignment vertical="center"/>
    </xf>
    <xf numFmtId="0" fontId="25" fillId="30" borderId="0">
      <alignment vertical="center"/>
    </xf>
    <xf numFmtId="0" fontId="24" fillId="31" borderId="0">
      <alignment vertical="center"/>
    </xf>
    <xf numFmtId="0" fontId="24" fillId="32" borderId="0">
      <alignment vertical="center"/>
    </xf>
    <xf numFmtId="0" fontId="25" fillId="33" borderId="0">
      <alignment vertical="center"/>
    </xf>
    <xf numFmtId="0" fontId="25" fillId="34" borderId="0">
      <alignment vertical="center"/>
    </xf>
    <xf numFmtId="0" fontId="24" fillId="35" borderId="0">
      <alignment vertical="center"/>
    </xf>
  </cellStyleXfs>
  <cellXfs count="22">
    <xf numFmtId="0" fontId="0" fillId="0" borderId="0" xfId="0"/>
    <xf numFmtId="0" fontId="1" fillId="2" borderId="0" xfId="0" applyFont="1" applyFill="1" applyAlignment="1">
      <alignment horizontal="center" vertical="center"/>
    </xf>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4" fillId="0" borderId="2" xfId="0" applyFont="1" applyBorder="1" applyAlignment="1">
      <alignment horizontal="center" vertical="center"/>
    </xf>
    <xf numFmtId="0" fontId="0" fillId="0" borderId="2" xfId="0" applyBorder="1"/>
    <xf numFmtId="0" fontId="5" fillId="0" borderId="3" xfId="0" applyFont="1" applyBorder="1" applyAlignment="1">
      <alignment horizontal="center" vertical="center" wrapText="1"/>
    </xf>
    <xf numFmtId="0" fontId="0" fillId="0" borderId="3" xfId="0" applyBorder="1" applyAlignment="1">
      <alignment horizontal="left" vertical="center"/>
    </xf>
    <xf numFmtId="0" fontId="0" fillId="0" borderId="4" xfId="0" applyBorder="1"/>
    <xf numFmtId="0" fontId="0" fillId="0" borderId="5" xfId="0" applyBorder="1"/>
    <xf numFmtId="0" fontId="0" fillId="0" borderId="3" xfId="0" applyBorder="1" applyAlignment="1">
      <alignment horizontal="center" vertical="center" wrapText="1"/>
    </xf>
    <xf numFmtId="0" fontId="0" fillId="0" borderId="3" xfId="0" applyBorder="1" applyAlignment="1">
      <alignment horizontal="left" vertical="center" wrapText="1"/>
    </xf>
    <xf numFmtId="176" fontId="0" fillId="0" borderId="3" xfId="0" applyNumberFormat="1" applyBorder="1" applyAlignment="1">
      <alignment horizontal="center" vertical="center" wrapText="1"/>
    </xf>
    <xf numFmtId="0" fontId="0" fillId="4" borderId="3" xfId="0" applyFill="1" applyBorder="1" applyAlignment="1">
      <alignment horizontal="center" vertical="center" wrapText="1"/>
    </xf>
    <xf numFmtId="0" fontId="0" fillId="4" borderId="3" xfId="0" applyFill="1" applyBorder="1" applyAlignment="1">
      <alignment horizontal="left" vertical="center" wrapText="1"/>
    </xf>
    <xf numFmtId="176" fontId="0" fillId="4" borderId="3" xfId="0" applyNumberFormat="1" applyFill="1" applyBorder="1" applyAlignment="1">
      <alignment horizontal="center" vertical="center" wrapText="1"/>
    </xf>
    <xf numFmtId="0" fontId="0" fillId="0" borderId="3" xfId="0" applyBorder="1" applyAlignment="1">
      <alignment horizontal="right" vertical="center"/>
    </xf>
    <xf numFmtId="176" fontId="0" fillId="0" borderId="3" xfId="0" applyNumberFormat="1" applyBorder="1" applyAlignment="1">
      <alignment horizontal="center" vertical="center"/>
    </xf>
    <xf numFmtId="0" fontId="0" fillId="0" borderId="3" xfId="0" applyFill="1" applyBorder="1" applyAlignment="1">
      <alignment horizontal="center" vertical="center" wrapText="1"/>
    </xf>
    <xf numFmtId="0" fontId="0" fillId="0" borderId="3" xfId="0" applyFill="1" applyBorder="1" applyAlignment="1">
      <alignment horizontal="left" vertical="center" wrapText="1"/>
    </xf>
    <xf numFmtId="0" fontId="6"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N100"/>
  <sheetViews>
    <sheetView showGridLines="0" tabSelected="1" workbookViewId="0">
      <pane ySplit="2" topLeftCell="A6" activePane="bottomLeft" state="frozen"/>
      <selection/>
      <selection pane="bottomLeft" activeCell="E5" sqref="E5"/>
    </sheetView>
  </sheetViews>
  <sheetFormatPr defaultColWidth="9" defaultRowHeight="13.5"/>
  <cols>
    <col min="1" max="1" width="5.66666666666667" customWidth="1"/>
    <col min="2" max="2" width="14" customWidth="1"/>
    <col min="3" max="3" width="29.25" customWidth="1"/>
    <col min="4" max="5" width="44.4416666666667" customWidth="1"/>
    <col min="6" max="6" width="6.44166666666667" customWidth="1"/>
    <col min="7" max="7" width="6.21666666666667" customWidth="1"/>
    <col min="8" max="8" width="16.75" customWidth="1"/>
    <col min="9" max="9" width="15.75" customWidth="1"/>
    <col min="10" max="10" width="14.875" customWidth="1"/>
    <col min="11" max="11" width="17" customWidth="1"/>
    <col min="12" max="12" width="16.75" customWidth="1"/>
    <col min="13" max="13" width="17.125" customWidth="1"/>
    <col min="14" max="14" width="36.375" customWidth="1"/>
  </cols>
  <sheetData>
    <row r="1" ht="37.2" customHeight="1" spans="1:14">
      <c r="A1" s="5" t="s">
        <v>0</v>
      </c>
      <c r="B1" s="6"/>
      <c r="C1" s="6"/>
      <c r="D1" s="6"/>
      <c r="E1" s="6"/>
      <c r="F1" s="6"/>
      <c r="G1" s="6"/>
      <c r="H1" s="6"/>
      <c r="I1" s="6"/>
      <c r="J1" s="6"/>
      <c r="K1" s="6"/>
      <c r="L1" s="6"/>
      <c r="M1" s="6"/>
      <c r="N1" s="6"/>
    </row>
    <row r="2" ht="30" customHeight="1" spans="1:14">
      <c r="A2" s="7" t="s">
        <v>1</v>
      </c>
      <c r="B2" s="7" t="s">
        <v>2</v>
      </c>
      <c r="C2" s="7" t="s">
        <v>3</v>
      </c>
      <c r="D2" s="7" t="s">
        <v>4</v>
      </c>
      <c r="E2" s="7" t="s">
        <v>5</v>
      </c>
      <c r="F2" s="7" t="s">
        <v>6</v>
      </c>
      <c r="G2" s="7" t="s">
        <v>7</v>
      </c>
      <c r="H2" s="7" t="s">
        <v>8</v>
      </c>
      <c r="I2" s="7" t="s">
        <v>9</v>
      </c>
      <c r="J2" s="7" t="s">
        <v>10</v>
      </c>
      <c r="K2" s="7" t="s">
        <v>11</v>
      </c>
      <c r="L2" s="7" t="s">
        <v>12</v>
      </c>
      <c r="M2" s="7" t="s">
        <v>13</v>
      </c>
      <c r="N2" s="7" t="s">
        <v>14</v>
      </c>
    </row>
    <row r="3" ht="24" customHeight="1" spans="1:14">
      <c r="A3" s="8" t="s">
        <v>15</v>
      </c>
      <c r="B3" s="9"/>
      <c r="C3" s="9"/>
      <c r="D3" s="9"/>
      <c r="E3" s="9"/>
      <c r="F3" s="9"/>
      <c r="G3" s="9"/>
      <c r="H3" s="9"/>
      <c r="I3" s="9"/>
      <c r="J3" s="9"/>
      <c r="K3" s="9"/>
      <c r="L3" s="9"/>
      <c r="M3" s="9"/>
      <c r="N3" s="10"/>
    </row>
    <row r="4" ht="54" customHeight="1" spans="1:14">
      <c r="A4" s="11">
        <v>1</v>
      </c>
      <c r="B4" s="11" t="s">
        <v>16</v>
      </c>
      <c r="C4" s="12" t="s">
        <v>17</v>
      </c>
      <c r="D4" s="12" t="s">
        <v>18</v>
      </c>
      <c r="E4" s="12"/>
      <c r="F4" s="11" t="s">
        <v>19</v>
      </c>
      <c r="G4" s="11">
        <v>1</v>
      </c>
      <c r="H4" s="13">
        <v>4000</v>
      </c>
      <c r="I4" s="13">
        <f t="shared" ref="I4:I10" si="0">IF(OR(G4="",H4=""),"",ROUND(G4*H4,2))</f>
        <v>4000</v>
      </c>
      <c r="J4" s="13">
        <v>3200</v>
      </c>
      <c r="K4" s="13">
        <f t="shared" ref="K4:K10" si="1">IF(OR(G4="",J4=""),"",ROUND(G4*J4,2))</f>
        <v>3200</v>
      </c>
      <c r="L4" s="13">
        <v>2700</v>
      </c>
      <c r="M4" s="13">
        <f t="shared" ref="M4:M10" si="2">IF(OR(G4="",L4=""),"",ROUND(G4*L4,2))</f>
        <v>2700</v>
      </c>
      <c r="N4" s="12" t="s">
        <v>20</v>
      </c>
    </row>
    <row r="5" ht="120" customHeight="1" spans="1:14">
      <c r="A5" s="11">
        <v>2</v>
      </c>
      <c r="B5" s="11" t="s">
        <v>16</v>
      </c>
      <c r="C5" s="12" t="s">
        <v>21</v>
      </c>
      <c r="D5" s="12" t="s">
        <v>22</v>
      </c>
      <c r="E5" s="12"/>
      <c r="F5" s="11" t="s">
        <v>19</v>
      </c>
      <c r="G5" s="11">
        <v>1</v>
      </c>
      <c r="H5" s="13">
        <v>8900</v>
      </c>
      <c r="I5" s="13">
        <f t="shared" si="0"/>
        <v>8900</v>
      </c>
      <c r="J5" s="13">
        <v>5785</v>
      </c>
      <c r="K5" s="13">
        <f t="shared" si="1"/>
        <v>5785</v>
      </c>
      <c r="L5" s="13">
        <v>3100</v>
      </c>
      <c r="M5" s="13">
        <f t="shared" si="2"/>
        <v>3100</v>
      </c>
      <c r="N5" s="12" t="s">
        <v>23</v>
      </c>
    </row>
    <row r="6" ht="54" customHeight="1" spans="1:14">
      <c r="A6" s="11">
        <v>3</v>
      </c>
      <c r="B6" s="11" t="s">
        <v>16</v>
      </c>
      <c r="C6" s="12" t="s">
        <v>24</v>
      </c>
      <c r="D6" s="12" t="s">
        <v>25</v>
      </c>
      <c r="E6" s="12"/>
      <c r="F6" s="11" t="s">
        <v>19</v>
      </c>
      <c r="G6" s="11">
        <v>1</v>
      </c>
      <c r="H6" s="13">
        <v>30000</v>
      </c>
      <c r="I6" s="13">
        <f t="shared" si="0"/>
        <v>30000</v>
      </c>
      <c r="J6" s="13">
        <v>27000</v>
      </c>
      <c r="K6" s="13">
        <f t="shared" si="1"/>
        <v>27000</v>
      </c>
      <c r="L6" s="13">
        <v>19000</v>
      </c>
      <c r="M6" s="13">
        <f t="shared" si="2"/>
        <v>19000</v>
      </c>
      <c r="N6" s="12" t="s">
        <v>26</v>
      </c>
    </row>
    <row r="7" ht="43.2" customHeight="1" spans="1:14">
      <c r="A7" s="11">
        <v>4</v>
      </c>
      <c r="B7" s="11" t="s">
        <v>16</v>
      </c>
      <c r="C7" s="12" t="s">
        <v>27</v>
      </c>
      <c r="D7" s="12" t="s">
        <v>28</v>
      </c>
      <c r="E7" s="12"/>
      <c r="F7" s="11" t="s">
        <v>29</v>
      </c>
      <c r="G7" s="11">
        <v>1</v>
      </c>
      <c r="H7" s="13">
        <v>1280</v>
      </c>
      <c r="I7" s="13">
        <f t="shared" si="0"/>
        <v>1280</v>
      </c>
      <c r="J7" s="13">
        <v>1000</v>
      </c>
      <c r="K7" s="13">
        <f t="shared" si="1"/>
        <v>1000</v>
      </c>
      <c r="L7" s="13">
        <v>700</v>
      </c>
      <c r="M7" s="13">
        <f t="shared" si="2"/>
        <v>700</v>
      </c>
      <c r="N7" s="12" t="s">
        <v>30</v>
      </c>
    </row>
    <row r="8" ht="54" customHeight="1" spans="1:14">
      <c r="A8" s="11">
        <v>5</v>
      </c>
      <c r="B8" s="11" t="s">
        <v>16</v>
      </c>
      <c r="C8" s="12" t="s">
        <v>31</v>
      </c>
      <c r="D8" s="12" t="s">
        <v>32</v>
      </c>
      <c r="E8" s="12"/>
      <c r="F8" s="11" t="s">
        <v>29</v>
      </c>
      <c r="G8" s="11">
        <v>1</v>
      </c>
      <c r="H8" s="13">
        <v>780</v>
      </c>
      <c r="I8" s="13">
        <f t="shared" si="0"/>
        <v>780</v>
      </c>
      <c r="J8" s="13">
        <v>702</v>
      </c>
      <c r="K8" s="13">
        <f t="shared" si="1"/>
        <v>702</v>
      </c>
      <c r="L8" s="13">
        <v>580</v>
      </c>
      <c r="M8" s="13">
        <f t="shared" si="2"/>
        <v>580</v>
      </c>
      <c r="N8" s="12" t="s">
        <v>33</v>
      </c>
    </row>
    <row r="9" ht="43.2" customHeight="1" spans="1:14">
      <c r="A9" s="11">
        <v>6</v>
      </c>
      <c r="B9" s="11" t="s">
        <v>16</v>
      </c>
      <c r="C9" s="12" t="s">
        <v>34</v>
      </c>
      <c r="D9" s="12" t="s">
        <v>35</v>
      </c>
      <c r="E9" s="12"/>
      <c r="F9" s="11" t="s">
        <v>36</v>
      </c>
      <c r="G9" s="11">
        <v>72</v>
      </c>
      <c r="H9" s="13">
        <v>384</v>
      </c>
      <c r="I9" s="13">
        <f t="shared" si="0"/>
        <v>27648</v>
      </c>
      <c r="J9" s="13">
        <v>320</v>
      </c>
      <c r="K9" s="13">
        <f t="shared" si="1"/>
        <v>23040</v>
      </c>
      <c r="L9" s="13">
        <v>240</v>
      </c>
      <c r="M9" s="13">
        <f t="shared" si="2"/>
        <v>17280</v>
      </c>
      <c r="N9" s="12" t="s">
        <v>37</v>
      </c>
    </row>
    <row r="10" ht="54" customHeight="1" spans="1:14">
      <c r="A10" s="11">
        <v>7</v>
      </c>
      <c r="B10" s="11" t="s">
        <v>16</v>
      </c>
      <c r="C10" s="12" t="s">
        <v>38</v>
      </c>
      <c r="D10" s="12" t="s">
        <v>39</v>
      </c>
      <c r="E10" s="12"/>
      <c r="F10" s="11" t="s">
        <v>29</v>
      </c>
      <c r="G10" s="11">
        <v>114</v>
      </c>
      <c r="H10" s="13">
        <v>380</v>
      </c>
      <c r="I10" s="13">
        <f t="shared" si="0"/>
        <v>43320</v>
      </c>
      <c r="J10" s="13">
        <v>342</v>
      </c>
      <c r="K10" s="13">
        <f t="shared" si="1"/>
        <v>38988</v>
      </c>
      <c r="L10" s="13">
        <v>230</v>
      </c>
      <c r="M10" s="13">
        <f t="shared" si="2"/>
        <v>26220</v>
      </c>
      <c r="N10" s="12" t="s">
        <v>40</v>
      </c>
    </row>
    <row r="11" ht="42" customHeight="1" spans="1:14">
      <c r="A11" s="14">
        <v>8</v>
      </c>
      <c r="B11" s="14" t="s">
        <v>16</v>
      </c>
      <c r="C11" s="15" t="s">
        <v>41</v>
      </c>
      <c r="D11" s="15" t="s">
        <v>42</v>
      </c>
      <c r="E11" s="15"/>
      <c r="F11" s="14" t="s">
        <v>43</v>
      </c>
      <c r="G11" s="14">
        <v>2</v>
      </c>
      <c r="H11" s="16"/>
      <c r="I11" s="16"/>
      <c r="J11" s="16"/>
      <c r="K11" s="16"/>
      <c r="L11" s="16"/>
      <c r="M11" s="16"/>
      <c r="N11" s="15" t="s">
        <v>44</v>
      </c>
    </row>
    <row r="12" ht="42" customHeight="1" spans="1:14">
      <c r="A12" s="14">
        <v>9</v>
      </c>
      <c r="B12" s="14" t="s">
        <v>16</v>
      </c>
      <c r="C12" s="15" t="s">
        <v>45</v>
      </c>
      <c r="D12" s="15" t="s">
        <v>42</v>
      </c>
      <c r="E12" s="15"/>
      <c r="F12" s="14" t="s">
        <v>19</v>
      </c>
      <c r="G12" s="14">
        <v>1</v>
      </c>
      <c r="H12" s="16"/>
      <c r="I12" s="16"/>
      <c r="J12" s="16"/>
      <c r="K12" s="16"/>
      <c r="L12" s="16"/>
      <c r="M12" s="16"/>
      <c r="N12" s="15" t="s">
        <v>44</v>
      </c>
    </row>
    <row r="13" ht="42" customHeight="1" spans="1:14">
      <c r="A13" s="14">
        <v>10</v>
      </c>
      <c r="B13" s="14" t="s">
        <v>16</v>
      </c>
      <c r="C13" s="15" t="s">
        <v>46</v>
      </c>
      <c r="D13" s="15" t="s">
        <v>42</v>
      </c>
      <c r="E13" s="15"/>
      <c r="F13" s="14" t="s">
        <v>19</v>
      </c>
      <c r="G13" s="14">
        <v>2</v>
      </c>
      <c r="H13" s="16"/>
      <c r="I13" s="16"/>
      <c r="J13" s="16"/>
      <c r="K13" s="16"/>
      <c r="L13" s="16"/>
      <c r="M13" s="16"/>
      <c r="N13" s="15" t="s">
        <v>44</v>
      </c>
    </row>
    <row r="14" ht="41.4" customHeight="1" spans="1:14">
      <c r="A14" s="17" t="s">
        <v>47</v>
      </c>
      <c r="B14" s="9"/>
      <c r="C14" s="9"/>
      <c r="D14" s="9"/>
      <c r="E14" s="9"/>
      <c r="F14" s="9"/>
      <c r="G14" s="9"/>
      <c r="H14" s="10"/>
      <c r="I14" s="18">
        <f>IF(COUNT(I4:I13)=0,"",SUM(I4:I13))</f>
        <v>115928</v>
      </c>
      <c r="J14" s="17"/>
      <c r="K14" s="18">
        <f>IF(COUNT(K4:K13)=0,"",SUM(K4:K13))</f>
        <v>99715</v>
      </c>
      <c r="L14" s="17"/>
      <c r="M14" s="18">
        <f>IF(COUNT(M4:M13)=0,"",SUM(M4:M13))</f>
        <v>69580</v>
      </c>
      <c r="N14" s="17" t="s">
        <v>48</v>
      </c>
    </row>
    <row r="15" ht="24" customHeight="1" spans="1:14">
      <c r="A15" s="8" t="s">
        <v>49</v>
      </c>
      <c r="B15" s="9"/>
      <c r="C15" s="9"/>
      <c r="D15" s="9"/>
      <c r="E15" s="9"/>
      <c r="F15" s="9"/>
      <c r="G15" s="9"/>
      <c r="H15" s="9"/>
      <c r="I15" s="9"/>
      <c r="J15" s="9"/>
      <c r="K15" s="9"/>
      <c r="L15" s="9"/>
      <c r="M15" s="9"/>
      <c r="N15" s="10"/>
    </row>
    <row r="16" ht="42" customHeight="1" spans="1:14">
      <c r="A16" s="14">
        <v>11</v>
      </c>
      <c r="B16" s="14" t="s">
        <v>50</v>
      </c>
      <c r="C16" s="15" t="s">
        <v>51</v>
      </c>
      <c r="D16" s="15" t="s">
        <v>42</v>
      </c>
      <c r="E16" s="15"/>
      <c r="F16" s="14" t="s">
        <v>43</v>
      </c>
      <c r="G16" s="14">
        <v>1</v>
      </c>
      <c r="H16" s="16"/>
      <c r="I16" s="16"/>
      <c r="J16" s="16"/>
      <c r="K16" s="16"/>
      <c r="L16" s="16"/>
      <c r="M16" s="16"/>
      <c r="N16" s="15" t="s">
        <v>44</v>
      </c>
    </row>
    <row r="17" spans="1:14">
      <c r="A17" s="17" t="s">
        <v>52</v>
      </c>
      <c r="B17" s="9"/>
      <c r="C17" s="9"/>
      <c r="D17" s="9"/>
      <c r="E17" s="9"/>
      <c r="F17" s="9"/>
      <c r="G17" s="9"/>
      <c r="H17" s="10"/>
      <c r="I17" s="18" t="str">
        <f>IF(COUNT(I16:I16)=0,"",SUM(I16:I16))</f>
        <v/>
      </c>
      <c r="J17" s="17"/>
      <c r="K17" s="18" t="str">
        <f>IF(COUNT(K16:K16)=0,"",SUM(K16:K16))</f>
        <v/>
      </c>
      <c r="L17" s="17"/>
      <c r="M17" s="18" t="str">
        <f>IF(COUNT(M16:M16)=0,"",SUM(M16:M16))</f>
        <v/>
      </c>
      <c r="N17" s="17" t="s">
        <v>53</v>
      </c>
    </row>
    <row r="18" ht="24" customHeight="1" spans="1:14">
      <c r="A18" s="8" t="s">
        <v>54</v>
      </c>
      <c r="B18" s="9"/>
      <c r="C18" s="9"/>
      <c r="D18" s="9"/>
      <c r="E18" s="9"/>
      <c r="F18" s="9"/>
      <c r="G18" s="9"/>
      <c r="H18" s="9"/>
      <c r="I18" s="9"/>
      <c r="J18" s="9"/>
      <c r="K18" s="9"/>
      <c r="L18" s="9"/>
      <c r="M18" s="9"/>
      <c r="N18" s="10"/>
    </row>
    <row r="19" ht="84" customHeight="1" spans="1:14">
      <c r="A19" s="19">
        <v>12</v>
      </c>
      <c r="B19" s="19" t="s">
        <v>55</v>
      </c>
      <c r="C19" s="20" t="s">
        <v>56</v>
      </c>
      <c r="D19" s="20" t="s">
        <v>57</v>
      </c>
      <c r="E19" s="20"/>
      <c r="F19" s="11" t="s">
        <v>43</v>
      </c>
      <c r="G19" s="11">
        <v>1</v>
      </c>
      <c r="H19" s="13">
        <v>25000</v>
      </c>
      <c r="I19" s="13">
        <f>IF(OR(G19="",H19=""),"",ROUND(G19*H19,2))</f>
        <v>25000</v>
      </c>
      <c r="J19" s="13">
        <v>22500</v>
      </c>
      <c r="K19" s="13">
        <f>IF(OR(G19="",J19=""),"",ROUND(G19*J19,2))</f>
        <v>22500</v>
      </c>
      <c r="L19" s="13">
        <v>15300</v>
      </c>
      <c r="M19" s="13">
        <f>IF(OR(G19="",L19=""),"",ROUND(G19*L19,2))</f>
        <v>15300</v>
      </c>
      <c r="N19" s="12" t="s">
        <v>58</v>
      </c>
    </row>
    <row r="20" spans="1:14">
      <c r="A20" s="17" t="s">
        <v>59</v>
      </c>
      <c r="B20" s="9"/>
      <c r="C20" s="9"/>
      <c r="D20" s="9"/>
      <c r="E20" s="9"/>
      <c r="F20" s="9"/>
      <c r="G20" s="9"/>
      <c r="H20" s="10"/>
      <c r="I20" s="18">
        <f>IF(COUNT(I19:I19)=0,"",SUM(I19:I19))</f>
        <v>25000</v>
      </c>
      <c r="J20" s="17"/>
      <c r="K20" s="18">
        <f>IF(COUNT(K19:K19)=0,"",SUM(K19:K19))</f>
        <v>22500</v>
      </c>
      <c r="L20" s="17"/>
      <c r="M20" s="18">
        <f>IF(COUNT(M19:M19)=0,"",SUM(M19:M19))</f>
        <v>15300</v>
      </c>
      <c r="N20" s="17"/>
    </row>
    <row r="21" ht="24" customHeight="1" spans="1:14">
      <c r="A21" s="8" t="s">
        <v>60</v>
      </c>
      <c r="B21" s="9"/>
      <c r="C21" s="9"/>
      <c r="D21" s="9"/>
      <c r="E21" s="9"/>
      <c r="F21" s="9"/>
      <c r="G21" s="9"/>
      <c r="H21" s="9"/>
      <c r="I21" s="9"/>
      <c r="J21" s="9"/>
      <c r="K21" s="9"/>
      <c r="L21" s="9"/>
      <c r="M21" s="9"/>
      <c r="N21" s="10"/>
    </row>
    <row r="22" ht="54" customHeight="1" spans="1:14">
      <c r="A22" s="11">
        <v>13</v>
      </c>
      <c r="B22" s="11" t="s">
        <v>61</v>
      </c>
      <c r="C22" s="12" t="s">
        <v>62</v>
      </c>
      <c r="D22" s="12" t="s">
        <v>63</v>
      </c>
      <c r="E22" s="12"/>
      <c r="F22" s="11" t="s">
        <v>29</v>
      </c>
      <c r="G22" s="11">
        <v>1</v>
      </c>
      <c r="H22" s="13">
        <v>198</v>
      </c>
      <c r="I22" s="13">
        <f t="shared" ref="I22:I27" si="3">IF(OR(G22="",H22=""),"",ROUND(G22*H22,2))</f>
        <v>198</v>
      </c>
      <c r="J22" s="13">
        <v>178.2</v>
      </c>
      <c r="K22" s="13">
        <f t="shared" ref="K22:K27" si="4">IF(OR(G22="",J22=""),"",ROUND(G22*J22,2))</f>
        <v>178.2</v>
      </c>
      <c r="L22" s="13">
        <v>119</v>
      </c>
      <c r="M22" s="13">
        <f t="shared" ref="M22:M27" si="5">IF(OR(G22="",L22=""),"",ROUND(G22*L22,2))</f>
        <v>119</v>
      </c>
      <c r="N22" s="12" t="s">
        <v>64</v>
      </c>
    </row>
    <row r="23" ht="54" customHeight="1" spans="1:14">
      <c r="A23" s="11">
        <v>14</v>
      </c>
      <c r="B23" s="11" t="s">
        <v>61</v>
      </c>
      <c r="C23" s="12" t="s">
        <v>17</v>
      </c>
      <c r="D23" s="12" t="s">
        <v>18</v>
      </c>
      <c r="E23" s="12"/>
      <c r="F23" s="11" t="s">
        <v>19</v>
      </c>
      <c r="G23" s="11">
        <v>1</v>
      </c>
      <c r="H23" s="13">
        <v>4000</v>
      </c>
      <c r="I23" s="13">
        <f t="shared" si="3"/>
        <v>4000</v>
      </c>
      <c r="J23" s="13">
        <v>3200</v>
      </c>
      <c r="K23" s="13">
        <f t="shared" si="4"/>
        <v>3200</v>
      </c>
      <c r="L23" s="13">
        <v>2700</v>
      </c>
      <c r="M23" s="13">
        <f t="shared" si="5"/>
        <v>2700</v>
      </c>
      <c r="N23" s="12" t="s">
        <v>65</v>
      </c>
    </row>
    <row r="24" ht="120" customHeight="1" spans="1:14">
      <c r="A24" s="11">
        <v>15</v>
      </c>
      <c r="B24" s="11" t="s">
        <v>61</v>
      </c>
      <c r="C24" s="12" t="s">
        <v>66</v>
      </c>
      <c r="D24" s="12" t="s">
        <v>67</v>
      </c>
      <c r="E24" s="12"/>
      <c r="F24" s="11" t="s">
        <v>19</v>
      </c>
      <c r="G24" s="11">
        <v>1</v>
      </c>
      <c r="H24" s="13">
        <v>172000</v>
      </c>
      <c r="I24" s="13">
        <f t="shared" si="3"/>
        <v>172000</v>
      </c>
      <c r="J24" s="13">
        <v>92000</v>
      </c>
      <c r="K24" s="13">
        <f t="shared" si="4"/>
        <v>92000</v>
      </c>
      <c r="L24" s="13">
        <v>23000</v>
      </c>
      <c r="M24" s="13">
        <f t="shared" si="5"/>
        <v>23000</v>
      </c>
      <c r="N24" s="12" t="s">
        <v>68</v>
      </c>
    </row>
    <row r="25" ht="120" customHeight="1" spans="1:14">
      <c r="A25" s="11">
        <v>16</v>
      </c>
      <c r="B25" s="11" t="s">
        <v>61</v>
      </c>
      <c r="C25" s="12" t="s">
        <v>69</v>
      </c>
      <c r="D25" s="12" t="s">
        <v>70</v>
      </c>
      <c r="E25" s="12"/>
      <c r="F25" s="11" t="s">
        <v>19</v>
      </c>
      <c r="G25" s="11">
        <v>1</v>
      </c>
      <c r="H25" s="13">
        <v>6800</v>
      </c>
      <c r="I25" s="13">
        <f t="shared" si="3"/>
        <v>6800</v>
      </c>
      <c r="J25" s="13">
        <v>4760</v>
      </c>
      <c r="K25" s="13">
        <f t="shared" si="4"/>
        <v>4760</v>
      </c>
      <c r="L25" s="13">
        <v>2000</v>
      </c>
      <c r="M25" s="13">
        <f t="shared" si="5"/>
        <v>2000</v>
      </c>
      <c r="N25" s="12" t="s">
        <v>71</v>
      </c>
    </row>
    <row r="26" ht="120" customHeight="1" spans="1:14">
      <c r="A26" s="11">
        <v>17</v>
      </c>
      <c r="B26" s="11" t="s">
        <v>61</v>
      </c>
      <c r="C26" s="12" t="s">
        <v>72</v>
      </c>
      <c r="D26" s="12" t="s">
        <v>73</v>
      </c>
      <c r="E26" s="12"/>
      <c r="F26" s="11" t="s">
        <v>43</v>
      </c>
      <c r="G26" s="11">
        <v>1</v>
      </c>
      <c r="H26" s="13">
        <v>36800</v>
      </c>
      <c r="I26" s="13">
        <f t="shared" si="3"/>
        <v>36800</v>
      </c>
      <c r="J26" s="13">
        <v>25760</v>
      </c>
      <c r="K26" s="13">
        <f t="shared" si="4"/>
        <v>25760</v>
      </c>
      <c r="L26" s="13">
        <v>18000</v>
      </c>
      <c r="M26" s="13">
        <f t="shared" si="5"/>
        <v>18000</v>
      </c>
      <c r="N26" s="12" t="s">
        <v>74</v>
      </c>
    </row>
    <row r="27" ht="120" customHeight="1" spans="1:14">
      <c r="A27" s="11">
        <v>18</v>
      </c>
      <c r="B27" s="11" t="s">
        <v>61</v>
      </c>
      <c r="C27" s="12" t="s">
        <v>75</v>
      </c>
      <c r="D27" s="12" t="s">
        <v>76</v>
      </c>
      <c r="E27" s="12"/>
      <c r="F27" s="11" t="s">
        <v>43</v>
      </c>
      <c r="G27" s="11">
        <v>1</v>
      </c>
      <c r="H27" s="13">
        <v>46800</v>
      </c>
      <c r="I27" s="13">
        <f t="shared" si="3"/>
        <v>46800</v>
      </c>
      <c r="J27" s="13">
        <v>32760</v>
      </c>
      <c r="K27" s="13">
        <f t="shared" si="4"/>
        <v>32760</v>
      </c>
      <c r="L27" s="13">
        <v>15000</v>
      </c>
      <c r="M27" s="13">
        <f t="shared" si="5"/>
        <v>15000</v>
      </c>
      <c r="N27" s="12" t="s">
        <v>77</v>
      </c>
    </row>
    <row r="28" spans="1:14">
      <c r="A28" s="17" t="s">
        <v>78</v>
      </c>
      <c r="B28" s="9"/>
      <c r="C28" s="9"/>
      <c r="D28" s="9"/>
      <c r="E28" s="9"/>
      <c r="F28" s="9"/>
      <c r="G28" s="9"/>
      <c r="H28" s="10"/>
      <c r="I28" s="18">
        <f>IF(COUNT(I22:I27)=0,"",SUM(I22:I27))</f>
        <v>266598</v>
      </c>
      <c r="J28" s="17"/>
      <c r="K28" s="18">
        <f>IF(COUNT(K22:K27)=0,"",SUM(K22:K27))</f>
        <v>158658.2</v>
      </c>
      <c r="L28" s="17"/>
      <c r="M28" s="18">
        <f>IF(COUNT(M22:M27)=0,"",SUM(M22:M27))</f>
        <v>60819</v>
      </c>
      <c r="N28" s="17"/>
    </row>
    <row r="29" ht="24" customHeight="1" spans="1:14">
      <c r="A29" s="8" t="s">
        <v>79</v>
      </c>
      <c r="B29" s="9"/>
      <c r="C29" s="9"/>
      <c r="D29" s="9"/>
      <c r="E29" s="9"/>
      <c r="F29" s="9"/>
      <c r="G29" s="9"/>
      <c r="H29" s="9"/>
      <c r="I29" s="9"/>
      <c r="J29" s="9"/>
      <c r="K29" s="9"/>
      <c r="L29" s="9"/>
      <c r="M29" s="9"/>
      <c r="N29" s="10"/>
    </row>
    <row r="30" ht="84" customHeight="1" spans="1:14">
      <c r="A30" s="11">
        <v>19</v>
      </c>
      <c r="B30" s="11" t="s">
        <v>80</v>
      </c>
      <c r="C30" s="12" t="s">
        <v>56</v>
      </c>
      <c r="D30" s="12" t="s">
        <v>57</v>
      </c>
      <c r="E30" s="12"/>
      <c r="F30" s="11" t="s">
        <v>43</v>
      </c>
      <c r="G30" s="11">
        <v>1</v>
      </c>
      <c r="H30" s="13">
        <v>25000</v>
      </c>
      <c r="I30" s="13">
        <f>IF(OR(G30="",H30=""),"",ROUND(G30*H30,2))</f>
        <v>25000</v>
      </c>
      <c r="J30" s="13">
        <v>22500</v>
      </c>
      <c r="K30" s="13">
        <f>IF(OR(G30="",J30=""),"",ROUND(G30*J30,2))</f>
        <v>22500</v>
      </c>
      <c r="L30" s="13">
        <v>15300</v>
      </c>
      <c r="M30" s="13">
        <f>IF(OR(G30="",L30=""),"",ROUND(G30*L30,2))</f>
        <v>15300</v>
      </c>
      <c r="N30" s="12" t="s">
        <v>58</v>
      </c>
    </row>
    <row r="31" ht="43.2" customHeight="1" spans="1:14">
      <c r="A31" s="11">
        <v>20</v>
      </c>
      <c r="B31" s="11" t="s">
        <v>80</v>
      </c>
      <c r="C31" s="12" t="s">
        <v>81</v>
      </c>
      <c r="D31" s="12" t="s">
        <v>82</v>
      </c>
      <c r="E31" s="12"/>
      <c r="F31" s="11" t="s">
        <v>29</v>
      </c>
      <c r="G31" s="11">
        <v>2</v>
      </c>
      <c r="H31" s="13">
        <v>500</v>
      </c>
      <c r="I31" s="13">
        <f>IF(OR(G31="",H31=""),"",ROUND(G31*H31,2))</f>
        <v>1000</v>
      </c>
      <c r="J31" s="13">
        <v>400</v>
      </c>
      <c r="K31" s="13">
        <f>IF(OR(G31="",J31=""),"",ROUND(G31*J31,2))</f>
        <v>800</v>
      </c>
      <c r="L31" s="13">
        <v>300</v>
      </c>
      <c r="M31" s="13">
        <f>IF(OR(G31="",L31=""),"",ROUND(G31*L31,2))</f>
        <v>600</v>
      </c>
      <c r="N31" s="12" t="s">
        <v>83</v>
      </c>
    </row>
    <row r="32" ht="54" customHeight="1" spans="1:14">
      <c r="A32" s="11">
        <v>21</v>
      </c>
      <c r="B32" s="11" t="s">
        <v>80</v>
      </c>
      <c r="C32" s="12" t="s">
        <v>84</v>
      </c>
      <c r="D32" s="12" t="s">
        <v>85</v>
      </c>
      <c r="E32" s="12"/>
      <c r="F32" s="11" t="s">
        <v>19</v>
      </c>
      <c r="G32" s="11">
        <v>1</v>
      </c>
      <c r="H32" s="13">
        <v>9800</v>
      </c>
      <c r="I32" s="13">
        <f>IF(OR(G32="",H32=""),"",ROUND(G32*H32,2))</f>
        <v>9800</v>
      </c>
      <c r="J32" s="13">
        <v>8320</v>
      </c>
      <c r="K32" s="13">
        <f>IF(OR(G32="",J32=""),"",ROUND(G32*J32,2))</f>
        <v>8320</v>
      </c>
      <c r="L32" s="13">
        <v>6400</v>
      </c>
      <c r="M32" s="13">
        <f>IF(OR(G32="",L32=""),"",ROUND(G32*L32,2))</f>
        <v>6400</v>
      </c>
      <c r="N32" s="12" t="s">
        <v>86</v>
      </c>
    </row>
    <row r="33" ht="99" customHeight="1" spans="1:14">
      <c r="A33" s="11">
        <v>22</v>
      </c>
      <c r="B33" s="11" t="s">
        <v>80</v>
      </c>
      <c r="C33" s="12" t="s">
        <v>87</v>
      </c>
      <c r="D33" s="12" t="s">
        <v>88</v>
      </c>
      <c r="E33" s="12"/>
      <c r="F33" s="11" t="s">
        <v>43</v>
      </c>
      <c r="G33" s="11">
        <v>1</v>
      </c>
      <c r="H33" s="13">
        <v>9999</v>
      </c>
      <c r="I33" s="13">
        <f>IF(OR(G33="",H33=""),"",ROUND(G33*H33,2))</f>
        <v>9999</v>
      </c>
      <c r="J33" s="13">
        <v>4200</v>
      </c>
      <c r="K33" s="13">
        <f>IF(OR(G33="",J33=""),"",ROUND(G33*J33,2))</f>
        <v>4200</v>
      </c>
      <c r="L33" s="13">
        <v>2200</v>
      </c>
      <c r="M33" s="13">
        <f>IF(OR(G33="",L33=""),"",ROUND(G33*L33,2))</f>
        <v>2200</v>
      </c>
      <c r="N33" s="12" t="s">
        <v>89</v>
      </c>
    </row>
    <row r="34" ht="114" customHeight="1" spans="1:14">
      <c r="A34" s="11">
        <v>23</v>
      </c>
      <c r="B34" s="11" t="s">
        <v>80</v>
      </c>
      <c r="C34" s="12" t="s">
        <v>90</v>
      </c>
      <c r="D34" s="12" t="s">
        <v>91</v>
      </c>
      <c r="E34" s="12"/>
      <c r="F34" s="11" t="s">
        <v>43</v>
      </c>
      <c r="G34" s="11">
        <v>1</v>
      </c>
      <c r="H34" s="13">
        <v>96000</v>
      </c>
      <c r="I34" s="13">
        <f>IF(OR(G34="",H34=""),"",ROUND(G34*H34,2))</f>
        <v>96000</v>
      </c>
      <c r="J34" s="13">
        <v>48000</v>
      </c>
      <c r="K34" s="13">
        <f>IF(OR(G34="",J34=""),"",ROUND(G34*J34,2))</f>
        <v>48000</v>
      </c>
      <c r="L34" s="13">
        <v>6850</v>
      </c>
      <c r="M34" s="13">
        <f>IF(OR(G34="",L34=""),"",ROUND(G34*L34,2))</f>
        <v>6850</v>
      </c>
      <c r="N34" s="12" t="s">
        <v>92</v>
      </c>
    </row>
    <row r="35" ht="42" customHeight="1" spans="1:14">
      <c r="A35" s="14">
        <v>24</v>
      </c>
      <c r="B35" s="14" t="s">
        <v>80</v>
      </c>
      <c r="C35" s="15" t="s">
        <v>93</v>
      </c>
      <c r="D35" s="15" t="s">
        <v>42</v>
      </c>
      <c r="E35" s="15"/>
      <c r="F35" s="14" t="s">
        <v>43</v>
      </c>
      <c r="G35" s="14">
        <v>1</v>
      </c>
      <c r="H35" s="16"/>
      <c r="I35" s="16"/>
      <c r="J35" s="16"/>
      <c r="K35" s="16"/>
      <c r="L35" s="16"/>
      <c r="M35" s="16"/>
      <c r="N35" s="15" t="s">
        <v>44</v>
      </c>
    </row>
    <row r="36" ht="42" customHeight="1" spans="1:14">
      <c r="A36" s="14">
        <v>25</v>
      </c>
      <c r="B36" s="14" t="s">
        <v>80</v>
      </c>
      <c r="C36" s="15" t="s">
        <v>94</v>
      </c>
      <c r="D36" s="15" t="s">
        <v>42</v>
      </c>
      <c r="E36" s="15"/>
      <c r="F36" s="14" t="s">
        <v>29</v>
      </c>
      <c r="G36" s="14">
        <v>2</v>
      </c>
      <c r="H36" s="16"/>
      <c r="I36" s="16"/>
      <c r="J36" s="16"/>
      <c r="K36" s="16"/>
      <c r="L36" s="16"/>
      <c r="M36" s="16"/>
      <c r="N36" s="15" t="s">
        <v>44</v>
      </c>
    </row>
    <row r="37" ht="42" customHeight="1" spans="1:14">
      <c r="A37" s="14">
        <v>26</v>
      </c>
      <c r="B37" s="14" t="s">
        <v>80</v>
      </c>
      <c r="C37" s="15" t="s">
        <v>95</v>
      </c>
      <c r="D37" s="15" t="s">
        <v>42</v>
      </c>
      <c r="E37" s="15"/>
      <c r="F37" s="14" t="s">
        <v>43</v>
      </c>
      <c r="G37" s="14">
        <v>1</v>
      </c>
      <c r="H37" s="16"/>
      <c r="I37" s="16"/>
      <c r="J37" s="16"/>
      <c r="K37" s="16"/>
      <c r="L37" s="16"/>
      <c r="M37" s="16"/>
      <c r="N37" s="15" t="s">
        <v>44</v>
      </c>
    </row>
    <row r="38" ht="42" customHeight="1" spans="1:14">
      <c r="A38" s="14">
        <v>27</v>
      </c>
      <c r="B38" s="14" t="s">
        <v>80</v>
      </c>
      <c r="C38" s="15" t="s">
        <v>96</v>
      </c>
      <c r="D38" s="15" t="s">
        <v>42</v>
      </c>
      <c r="E38" s="15"/>
      <c r="F38" s="14" t="s">
        <v>19</v>
      </c>
      <c r="G38" s="14">
        <v>1</v>
      </c>
      <c r="H38" s="16"/>
      <c r="I38" s="16"/>
      <c r="J38" s="16"/>
      <c r="K38" s="16"/>
      <c r="L38" s="16"/>
      <c r="M38" s="16"/>
      <c r="N38" s="15" t="s">
        <v>44</v>
      </c>
    </row>
    <row r="39" spans="1:14">
      <c r="A39" s="17" t="s">
        <v>97</v>
      </c>
      <c r="B39" s="9"/>
      <c r="C39" s="9"/>
      <c r="D39" s="9"/>
      <c r="E39" s="9"/>
      <c r="F39" s="9"/>
      <c r="G39" s="9"/>
      <c r="H39" s="10"/>
      <c r="I39" s="18">
        <f>IF(COUNT(I30:I38)=0,"",SUM(I30:I38))</f>
        <v>141799</v>
      </c>
      <c r="J39" s="17"/>
      <c r="K39" s="18">
        <f>IF(COUNT(K30:K38)=0,"",SUM(K30:K38))</f>
        <v>83820</v>
      </c>
      <c r="L39" s="17"/>
      <c r="M39" s="18">
        <f>IF(COUNT(M30:M38)=0,"",SUM(M30:M38))</f>
        <v>31350</v>
      </c>
      <c r="N39" s="17" t="s">
        <v>98</v>
      </c>
    </row>
    <row r="40" ht="24" customHeight="1" spans="1:14">
      <c r="A40" s="8" t="s">
        <v>99</v>
      </c>
      <c r="B40" s="9"/>
      <c r="C40" s="9"/>
      <c r="D40" s="9"/>
      <c r="E40" s="9"/>
      <c r="F40" s="9"/>
      <c r="G40" s="9"/>
      <c r="H40" s="9"/>
      <c r="I40" s="9"/>
      <c r="J40" s="9"/>
      <c r="K40" s="9"/>
      <c r="L40" s="9"/>
      <c r="M40" s="9"/>
      <c r="N40" s="10"/>
    </row>
    <row r="41" ht="54" customHeight="1" spans="1:14">
      <c r="A41" s="11">
        <v>28</v>
      </c>
      <c r="B41" s="11" t="s">
        <v>100</v>
      </c>
      <c r="C41" s="12" t="s">
        <v>101</v>
      </c>
      <c r="D41" s="12" t="s">
        <v>102</v>
      </c>
      <c r="E41" s="12"/>
      <c r="F41" s="11" t="s">
        <v>19</v>
      </c>
      <c r="G41" s="11">
        <v>2</v>
      </c>
      <c r="H41" s="13">
        <v>800</v>
      </c>
      <c r="I41" s="13">
        <f>IF(OR(G41="",H41=""),"",ROUND(G41*H41,2))</f>
        <v>1600</v>
      </c>
      <c r="J41" s="13">
        <v>640</v>
      </c>
      <c r="K41" s="13">
        <f>IF(OR(G41="",J41=""),"",ROUND(G41*J41,2))</f>
        <v>1280</v>
      </c>
      <c r="L41" s="13">
        <v>210</v>
      </c>
      <c r="M41" s="13">
        <f>IF(OR(G41="",L41=""),"",ROUND(G41*L41,2))</f>
        <v>420</v>
      </c>
      <c r="N41" s="12" t="s">
        <v>103</v>
      </c>
    </row>
    <row r="42" ht="54" customHeight="1" spans="1:14">
      <c r="A42" s="11">
        <v>29</v>
      </c>
      <c r="B42" s="11" t="s">
        <v>100</v>
      </c>
      <c r="C42" s="12" t="s">
        <v>17</v>
      </c>
      <c r="D42" s="12" t="s">
        <v>18</v>
      </c>
      <c r="E42" s="12"/>
      <c r="F42" s="11" t="s">
        <v>19</v>
      </c>
      <c r="G42" s="11">
        <v>1</v>
      </c>
      <c r="H42" s="13">
        <v>4000</v>
      </c>
      <c r="I42" s="13">
        <f>IF(OR(G42="",H42=""),"",ROUND(G42*H42,2))</f>
        <v>4000</v>
      </c>
      <c r="J42" s="13">
        <v>3200</v>
      </c>
      <c r="K42" s="13">
        <f>IF(OR(G42="",J42=""),"",ROUND(G42*J42,2))</f>
        <v>3200</v>
      </c>
      <c r="L42" s="13">
        <v>2700</v>
      </c>
      <c r="M42" s="13">
        <f>IF(OR(G42="",L42=""),"",ROUND(G42*L42,2))</f>
        <v>2700</v>
      </c>
      <c r="N42" s="12" t="s">
        <v>104</v>
      </c>
    </row>
    <row r="43" ht="54" customHeight="1" spans="1:14">
      <c r="A43" s="11">
        <v>30</v>
      </c>
      <c r="B43" s="11" t="s">
        <v>100</v>
      </c>
      <c r="C43" s="12" t="s">
        <v>105</v>
      </c>
      <c r="D43" s="12" t="s">
        <v>106</v>
      </c>
      <c r="E43" s="12"/>
      <c r="F43" s="11" t="s">
        <v>19</v>
      </c>
      <c r="G43" s="11">
        <v>1</v>
      </c>
      <c r="H43" s="13">
        <v>3380</v>
      </c>
      <c r="I43" s="13">
        <f>IF(OR(G43="",H43=""),"",ROUND(G43*H43,2))</f>
        <v>3380</v>
      </c>
      <c r="J43" s="13">
        <v>2700</v>
      </c>
      <c r="K43" s="13">
        <f>IF(OR(G43="",J43=""),"",ROUND(G43*J43,2))</f>
        <v>2700</v>
      </c>
      <c r="L43" s="13">
        <v>1900</v>
      </c>
      <c r="M43" s="13">
        <f>IF(OR(G43="",L43=""),"",ROUND(G43*L43,2))</f>
        <v>1900</v>
      </c>
      <c r="N43" s="12" t="s">
        <v>107</v>
      </c>
    </row>
    <row r="44" ht="54" customHeight="1" spans="1:14">
      <c r="A44" s="11">
        <v>31</v>
      </c>
      <c r="B44" s="11" t="s">
        <v>100</v>
      </c>
      <c r="C44" s="12" t="s">
        <v>108</v>
      </c>
      <c r="D44" s="12" t="s">
        <v>109</v>
      </c>
      <c r="E44" s="12"/>
      <c r="F44" s="11" t="s">
        <v>19</v>
      </c>
      <c r="G44" s="11">
        <v>1</v>
      </c>
      <c r="H44" s="13">
        <v>580</v>
      </c>
      <c r="I44" s="13">
        <f>IF(OR(G44="",H44=""),"",ROUND(G44*H44,2))</f>
        <v>580</v>
      </c>
      <c r="J44" s="13">
        <v>460</v>
      </c>
      <c r="K44" s="13">
        <f>IF(OR(G44="",J44=""),"",ROUND(G44*J44,2))</f>
        <v>460</v>
      </c>
      <c r="L44" s="13">
        <v>360</v>
      </c>
      <c r="M44" s="13">
        <f>IF(OR(G44="",L44=""),"",ROUND(G44*L44,2))</f>
        <v>360</v>
      </c>
      <c r="N44" s="12" t="s">
        <v>110</v>
      </c>
    </row>
    <row r="45" spans="1:14">
      <c r="A45" s="17" t="s">
        <v>111</v>
      </c>
      <c r="B45" s="9"/>
      <c r="C45" s="9"/>
      <c r="D45" s="9"/>
      <c r="E45" s="9"/>
      <c r="F45" s="9"/>
      <c r="G45" s="9"/>
      <c r="H45" s="10"/>
      <c r="I45" s="18">
        <f>IF(COUNT(I41:I44)=0,"",SUM(I41:I44))</f>
        <v>9560</v>
      </c>
      <c r="J45" s="17"/>
      <c r="K45" s="18">
        <f>IF(COUNT(K41:K44)=0,"",SUM(K41:K44))</f>
        <v>7640</v>
      </c>
      <c r="L45" s="17"/>
      <c r="M45" s="18">
        <f>IF(COUNT(M41:M44)=0,"",SUM(M41:M44))</f>
        <v>5380</v>
      </c>
      <c r="N45" s="17"/>
    </row>
    <row r="46" ht="24" customHeight="1" spans="1:14">
      <c r="A46" s="8" t="s">
        <v>112</v>
      </c>
      <c r="B46" s="9"/>
      <c r="C46" s="9"/>
      <c r="D46" s="9"/>
      <c r="E46" s="9"/>
      <c r="F46" s="9"/>
      <c r="G46" s="9"/>
      <c r="H46" s="9"/>
      <c r="I46" s="9"/>
      <c r="J46" s="9"/>
      <c r="K46" s="9"/>
      <c r="L46" s="9"/>
      <c r="M46" s="9"/>
      <c r="N46" s="10"/>
    </row>
    <row r="47" ht="84" customHeight="1" spans="1:14">
      <c r="A47" s="11">
        <v>32</v>
      </c>
      <c r="B47" s="11" t="s">
        <v>113</v>
      </c>
      <c r="C47" s="12" t="s">
        <v>114</v>
      </c>
      <c r="D47" s="12" t="s">
        <v>115</v>
      </c>
      <c r="E47" s="12"/>
      <c r="F47" s="11" t="s">
        <v>29</v>
      </c>
      <c r="G47" s="11">
        <v>1</v>
      </c>
      <c r="H47" s="13">
        <v>2600</v>
      </c>
      <c r="I47" s="13">
        <f>IF(OR(G47="",H47=""),"",ROUND(G47*H47,2))</f>
        <v>2600</v>
      </c>
      <c r="J47" s="13">
        <v>2100</v>
      </c>
      <c r="K47" s="13">
        <f>IF(OR(G47="",J47=""),"",ROUND(G47*J47,2))</f>
        <v>2100</v>
      </c>
      <c r="L47" s="13">
        <v>1400</v>
      </c>
      <c r="M47" s="13">
        <f>IF(OR(G47="",L47=""),"",ROUND(G47*L47,2))</f>
        <v>1400</v>
      </c>
      <c r="N47" s="12" t="s">
        <v>116</v>
      </c>
    </row>
    <row r="48" ht="43.2" customHeight="1" spans="1:14">
      <c r="A48" s="11">
        <v>33</v>
      </c>
      <c r="B48" s="11" t="s">
        <v>113</v>
      </c>
      <c r="C48" s="12" t="s">
        <v>117</v>
      </c>
      <c r="D48" s="12" t="s">
        <v>118</v>
      </c>
      <c r="E48" s="12"/>
      <c r="F48" s="11" t="s">
        <v>29</v>
      </c>
      <c r="G48" s="11">
        <v>1</v>
      </c>
      <c r="H48" s="13">
        <v>315</v>
      </c>
      <c r="I48" s="13">
        <f>IF(OR(G48="",H48=""),"",ROUND(G48*H48,2))</f>
        <v>315</v>
      </c>
      <c r="J48" s="13">
        <v>280</v>
      </c>
      <c r="K48" s="13">
        <f>IF(OR(G48="",J48=""),"",ROUND(G48*J48,2))</f>
        <v>280</v>
      </c>
      <c r="L48" s="13">
        <v>240</v>
      </c>
      <c r="M48" s="13">
        <f>IF(OR(G48="",L48=""),"",ROUND(G48*L48,2))</f>
        <v>240</v>
      </c>
      <c r="N48" s="12" t="s">
        <v>116</v>
      </c>
    </row>
    <row r="49" ht="54" customHeight="1" spans="1:14">
      <c r="A49" s="11">
        <v>34</v>
      </c>
      <c r="B49" s="11" t="s">
        <v>113</v>
      </c>
      <c r="C49" s="12" t="s">
        <v>101</v>
      </c>
      <c r="D49" s="12" t="s">
        <v>102</v>
      </c>
      <c r="E49" s="12"/>
      <c r="F49" s="11" t="s">
        <v>19</v>
      </c>
      <c r="G49" s="11">
        <v>2</v>
      </c>
      <c r="H49" s="13">
        <v>800</v>
      </c>
      <c r="I49" s="13">
        <f>IF(OR(G49="",H49=""),"",ROUND(G49*H49,2))</f>
        <v>1600</v>
      </c>
      <c r="J49" s="13">
        <v>640</v>
      </c>
      <c r="K49" s="13">
        <f>IF(OR(G49="",J49=""),"",ROUND(G49*J49,2))</f>
        <v>1280</v>
      </c>
      <c r="L49" s="13">
        <v>210</v>
      </c>
      <c r="M49" s="13">
        <f>IF(OR(G49="",L49=""),"",ROUND(G49*L49,2))</f>
        <v>420</v>
      </c>
      <c r="N49" s="12" t="s">
        <v>103</v>
      </c>
    </row>
    <row r="50" ht="54" customHeight="1" spans="1:14">
      <c r="A50" s="11">
        <v>35</v>
      </c>
      <c r="B50" s="11" t="s">
        <v>113</v>
      </c>
      <c r="C50" s="12" t="s">
        <v>119</v>
      </c>
      <c r="D50" s="12" t="s">
        <v>120</v>
      </c>
      <c r="E50" s="12"/>
      <c r="F50" s="11" t="s">
        <v>29</v>
      </c>
      <c r="G50" s="11">
        <v>1</v>
      </c>
      <c r="H50" s="13">
        <v>760</v>
      </c>
      <c r="I50" s="13">
        <f>IF(OR(G50="",H50=""),"",ROUND(G50*H50,2))</f>
        <v>760</v>
      </c>
      <c r="J50" s="13">
        <v>600</v>
      </c>
      <c r="K50" s="13">
        <f>IF(OR(G50="",J50=""),"",ROUND(G50*J50,2))</f>
        <v>600</v>
      </c>
      <c r="L50" s="13">
        <v>380</v>
      </c>
      <c r="M50" s="13">
        <f>IF(OR(G50="",L50=""),"",ROUND(G50*L50,2))</f>
        <v>380</v>
      </c>
      <c r="N50" s="12" t="s">
        <v>121</v>
      </c>
    </row>
    <row r="51" ht="43.2" customHeight="1" spans="1:14">
      <c r="A51" s="11">
        <v>36</v>
      </c>
      <c r="B51" s="11" t="s">
        <v>113</v>
      </c>
      <c r="C51" s="12" t="s">
        <v>122</v>
      </c>
      <c r="D51" s="12" t="s">
        <v>123</v>
      </c>
      <c r="E51" s="12"/>
      <c r="F51" s="11" t="s">
        <v>29</v>
      </c>
      <c r="G51" s="11">
        <v>1</v>
      </c>
      <c r="H51" s="13">
        <v>280</v>
      </c>
      <c r="I51" s="13">
        <f>IF(OR(G51="",H51=""),"",ROUND(G51*H51,2))</f>
        <v>280</v>
      </c>
      <c r="J51" s="13">
        <v>252</v>
      </c>
      <c r="K51" s="13">
        <f>IF(OR(G51="",J51=""),"",ROUND(G51*J51,2))</f>
        <v>252</v>
      </c>
      <c r="L51" s="13">
        <v>220</v>
      </c>
      <c r="M51" s="13">
        <f>IF(OR(G51="",L51=""),"",ROUND(G51*L51,2))</f>
        <v>220</v>
      </c>
      <c r="N51" s="12" t="s">
        <v>124</v>
      </c>
    </row>
    <row r="52" spans="1:14">
      <c r="A52" s="17" t="s">
        <v>125</v>
      </c>
      <c r="B52" s="9"/>
      <c r="C52" s="9"/>
      <c r="D52" s="9"/>
      <c r="E52" s="9"/>
      <c r="F52" s="9"/>
      <c r="G52" s="9"/>
      <c r="H52" s="10"/>
      <c r="I52" s="18">
        <f>IF(COUNT(I47:I51)=0,"",SUM(I47:I51))</f>
        <v>5555</v>
      </c>
      <c r="J52" s="17"/>
      <c r="K52" s="18">
        <f>IF(COUNT(K47:K51)=0,"",SUM(K47:K51))</f>
        <v>4512</v>
      </c>
      <c r="L52" s="17"/>
      <c r="M52" s="18">
        <f>IF(COUNT(M47:M51)=0,"",SUM(M47:M51))</f>
        <v>2660</v>
      </c>
      <c r="N52" s="17"/>
    </row>
    <row r="53" ht="24" customHeight="1" spans="1:14">
      <c r="A53" s="8" t="s">
        <v>126</v>
      </c>
      <c r="B53" s="9"/>
      <c r="C53" s="9"/>
      <c r="D53" s="9"/>
      <c r="E53" s="9"/>
      <c r="F53" s="9"/>
      <c r="G53" s="9"/>
      <c r="H53" s="9"/>
      <c r="I53" s="9"/>
      <c r="J53" s="9"/>
      <c r="K53" s="9"/>
      <c r="L53" s="9"/>
      <c r="M53" s="9"/>
      <c r="N53" s="10"/>
    </row>
    <row r="54" ht="54" customHeight="1" spans="1:14">
      <c r="A54" s="11">
        <v>37</v>
      </c>
      <c r="B54" s="11" t="s">
        <v>127</v>
      </c>
      <c r="C54" s="12" t="s">
        <v>128</v>
      </c>
      <c r="D54" s="12" t="s">
        <v>129</v>
      </c>
      <c r="E54" s="12"/>
      <c r="F54" s="11" t="s">
        <v>29</v>
      </c>
      <c r="G54" s="11">
        <v>9</v>
      </c>
      <c r="H54" s="13">
        <v>480</v>
      </c>
      <c r="I54" s="13">
        <f>IF(OR(G54="",H54=""),"",ROUND(G54*H54,2))</f>
        <v>4320</v>
      </c>
      <c r="J54" s="13">
        <v>415</v>
      </c>
      <c r="K54" s="13">
        <f>IF(OR(G54="",J54=""),"",ROUND(G54*J54,2))</f>
        <v>3735</v>
      </c>
      <c r="L54" s="13">
        <v>350</v>
      </c>
      <c r="M54" s="13">
        <f>IF(OR(G54="",L54=""),"",ROUND(G54*L54,2))</f>
        <v>3150</v>
      </c>
      <c r="N54" s="12" t="s">
        <v>130</v>
      </c>
    </row>
    <row r="55" ht="43.2" customHeight="1" spans="1:14">
      <c r="A55" s="11">
        <v>38</v>
      </c>
      <c r="B55" s="11" t="s">
        <v>127</v>
      </c>
      <c r="C55" s="12" t="s">
        <v>34</v>
      </c>
      <c r="D55" s="12" t="s">
        <v>35</v>
      </c>
      <c r="E55" s="12"/>
      <c r="F55" s="11" t="s">
        <v>36</v>
      </c>
      <c r="G55" s="11">
        <v>54</v>
      </c>
      <c r="H55" s="13">
        <v>384</v>
      </c>
      <c r="I55" s="13">
        <f>IF(OR(G55="",H55=""),"",ROUND(G55*H55,2))</f>
        <v>20736</v>
      </c>
      <c r="J55" s="13">
        <v>320</v>
      </c>
      <c r="K55" s="13">
        <f>IF(OR(G55="",J55=""),"",ROUND(G55*J55,2))</f>
        <v>17280</v>
      </c>
      <c r="L55" s="13">
        <v>240</v>
      </c>
      <c r="M55" s="13">
        <f>IF(OR(G55="",L55=""),"",ROUND(G55*L55,2))</f>
        <v>12960</v>
      </c>
      <c r="N55" s="12" t="s">
        <v>131</v>
      </c>
    </row>
    <row r="56" ht="84" customHeight="1" spans="1:14">
      <c r="A56" s="11">
        <v>39</v>
      </c>
      <c r="B56" s="11" t="s">
        <v>127</v>
      </c>
      <c r="C56" s="12" t="s">
        <v>132</v>
      </c>
      <c r="D56" s="12" t="s">
        <v>133</v>
      </c>
      <c r="E56" s="12"/>
      <c r="F56" s="11" t="s">
        <v>43</v>
      </c>
      <c r="G56" s="11">
        <v>1</v>
      </c>
      <c r="H56" s="13">
        <v>28000</v>
      </c>
      <c r="I56" s="13">
        <f>IF(OR(G56="",H56=""),"",ROUND(G56*H56,2))</f>
        <v>28000</v>
      </c>
      <c r="J56" s="13">
        <v>25200</v>
      </c>
      <c r="K56" s="13">
        <f>IF(OR(G56="",J56=""),"",ROUND(G56*J56,2))</f>
        <v>25200</v>
      </c>
      <c r="L56" s="13">
        <v>17800</v>
      </c>
      <c r="M56" s="13">
        <f>IF(OR(G56="",L56=""),"",ROUND(G56*L56,2))</f>
        <v>17800</v>
      </c>
      <c r="N56" s="12" t="s">
        <v>134</v>
      </c>
    </row>
    <row r="57" ht="54" customHeight="1" spans="1:14">
      <c r="A57" s="11">
        <v>40</v>
      </c>
      <c r="B57" s="11" t="s">
        <v>127</v>
      </c>
      <c r="C57" s="12" t="s">
        <v>101</v>
      </c>
      <c r="D57" s="12" t="s">
        <v>102</v>
      </c>
      <c r="E57" s="12"/>
      <c r="F57" s="11" t="s">
        <v>19</v>
      </c>
      <c r="G57" s="11">
        <v>2</v>
      </c>
      <c r="H57" s="13">
        <v>800</v>
      </c>
      <c r="I57" s="13">
        <f>IF(OR(G57="",H57=""),"",ROUND(G57*H57,2))</f>
        <v>1600</v>
      </c>
      <c r="J57" s="13">
        <v>640</v>
      </c>
      <c r="K57" s="13">
        <f>IF(OR(G57="",J57=""),"",ROUND(G57*J57,2))</f>
        <v>1280</v>
      </c>
      <c r="L57" s="13">
        <v>210</v>
      </c>
      <c r="M57" s="13">
        <f>IF(OR(G57="",L57=""),"",ROUND(G57*L57,2))</f>
        <v>420</v>
      </c>
      <c r="N57" s="12" t="s">
        <v>103</v>
      </c>
    </row>
    <row r="58" ht="54" customHeight="1" spans="1:14">
      <c r="A58" s="11">
        <v>41</v>
      </c>
      <c r="B58" s="11" t="s">
        <v>127</v>
      </c>
      <c r="C58" s="12" t="s">
        <v>17</v>
      </c>
      <c r="D58" s="12" t="s">
        <v>18</v>
      </c>
      <c r="E58" s="12"/>
      <c r="F58" s="11" t="s">
        <v>19</v>
      </c>
      <c r="G58" s="11">
        <v>1</v>
      </c>
      <c r="H58" s="13">
        <v>4000</v>
      </c>
      <c r="I58" s="13">
        <f>IF(OR(G58="",H58=""),"",ROUND(G58*H58,2))</f>
        <v>4000</v>
      </c>
      <c r="J58" s="13">
        <v>3200</v>
      </c>
      <c r="K58" s="13">
        <f>IF(OR(G58="",J58=""),"",ROUND(G58*J58,2))</f>
        <v>3200</v>
      </c>
      <c r="L58" s="13">
        <v>2700</v>
      </c>
      <c r="M58" s="13">
        <f>IF(OR(G58="",L58=""),"",ROUND(G58*L58,2))</f>
        <v>2700</v>
      </c>
      <c r="N58" s="12" t="s">
        <v>135</v>
      </c>
    </row>
    <row r="59" ht="42" customHeight="1" spans="1:14">
      <c r="A59" s="14">
        <v>42</v>
      </c>
      <c r="B59" s="14" t="s">
        <v>127</v>
      </c>
      <c r="C59" s="15" t="s">
        <v>136</v>
      </c>
      <c r="D59" s="15" t="s">
        <v>42</v>
      </c>
      <c r="E59" s="15"/>
      <c r="F59" s="14" t="s">
        <v>137</v>
      </c>
      <c r="G59" s="14">
        <v>1</v>
      </c>
      <c r="H59" s="16"/>
      <c r="I59" s="16"/>
      <c r="J59" s="16"/>
      <c r="K59" s="16"/>
      <c r="L59" s="16"/>
      <c r="M59" s="16"/>
      <c r="N59" s="15" t="s">
        <v>44</v>
      </c>
    </row>
    <row r="60" spans="1:14">
      <c r="A60" s="17" t="s">
        <v>138</v>
      </c>
      <c r="B60" s="9"/>
      <c r="C60" s="9"/>
      <c r="D60" s="9"/>
      <c r="E60" s="9"/>
      <c r="F60" s="9"/>
      <c r="G60" s="9"/>
      <c r="H60" s="10"/>
      <c r="I60" s="18">
        <f>IF(COUNT(I54:I59)=0,"",SUM(I54:I59))</f>
        <v>58656</v>
      </c>
      <c r="J60" s="17"/>
      <c r="K60" s="18">
        <f>IF(COUNT(K54:K59)=0,"",SUM(K54:K59))</f>
        <v>50695</v>
      </c>
      <c r="L60" s="17"/>
      <c r="M60" s="18">
        <f>IF(COUNT(M54:M59)=0,"",SUM(M54:M59))</f>
        <v>37030</v>
      </c>
      <c r="N60" s="17" t="s">
        <v>53</v>
      </c>
    </row>
    <row r="61" ht="24" customHeight="1" spans="1:14">
      <c r="A61" s="8" t="s">
        <v>139</v>
      </c>
      <c r="B61" s="9"/>
      <c r="C61" s="9"/>
      <c r="D61" s="9"/>
      <c r="E61" s="9"/>
      <c r="F61" s="9"/>
      <c r="G61" s="9"/>
      <c r="H61" s="9"/>
      <c r="I61" s="9"/>
      <c r="J61" s="9"/>
      <c r="K61" s="9"/>
      <c r="L61" s="9"/>
      <c r="M61" s="9"/>
      <c r="N61" s="10"/>
    </row>
    <row r="62" ht="54" customHeight="1" spans="1:14">
      <c r="A62" s="11">
        <v>43</v>
      </c>
      <c r="B62" s="11" t="s">
        <v>140</v>
      </c>
      <c r="C62" s="12" t="s">
        <v>17</v>
      </c>
      <c r="D62" s="12" t="s">
        <v>18</v>
      </c>
      <c r="E62" s="12"/>
      <c r="F62" s="11" t="s">
        <v>19</v>
      </c>
      <c r="G62" s="11">
        <v>1</v>
      </c>
      <c r="H62" s="13">
        <v>4000</v>
      </c>
      <c r="I62" s="13">
        <f t="shared" ref="I62:I69" si="6">IF(OR(G62="",H62=""),"",ROUND(G62*H62,2))</f>
        <v>4000</v>
      </c>
      <c r="J62" s="13">
        <v>3200</v>
      </c>
      <c r="K62" s="13">
        <f t="shared" ref="K62:K69" si="7">IF(OR(G62="",J62=""),"",ROUND(G62*J62,2))</f>
        <v>3200</v>
      </c>
      <c r="L62" s="13">
        <v>2700</v>
      </c>
      <c r="M62" s="13">
        <f t="shared" ref="M62:M69" si="8">IF(OR(G62="",L62=""),"",ROUND(G62*L62,2))</f>
        <v>2700</v>
      </c>
      <c r="N62" s="12" t="s">
        <v>65</v>
      </c>
    </row>
    <row r="63" ht="84" customHeight="1" spans="1:14">
      <c r="A63" s="11">
        <v>44</v>
      </c>
      <c r="B63" s="11" t="s">
        <v>140</v>
      </c>
      <c r="C63" s="12" t="s">
        <v>114</v>
      </c>
      <c r="D63" s="12" t="s">
        <v>115</v>
      </c>
      <c r="E63" s="12"/>
      <c r="F63" s="11" t="s">
        <v>29</v>
      </c>
      <c r="G63" s="11">
        <v>1</v>
      </c>
      <c r="H63" s="13">
        <v>2600</v>
      </c>
      <c r="I63" s="13">
        <f t="shared" si="6"/>
        <v>2600</v>
      </c>
      <c r="J63" s="13">
        <v>2100</v>
      </c>
      <c r="K63" s="13">
        <f t="shared" si="7"/>
        <v>2100</v>
      </c>
      <c r="L63" s="13">
        <v>1400</v>
      </c>
      <c r="M63" s="13">
        <f t="shared" si="8"/>
        <v>1400</v>
      </c>
      <c r="N63" s="12" t="s">
        <v>141</v>
      </c>
    </row>
    <row r="64" ht="84" customHeight="1" spans="1:14">
      <c r="A64" s="11">
        <v>45</v>
      </c>
      <c r="B64" s="11" t="s">
        <v>140</v>
      </c>
      <c r="C64" s="12" t="s">
        <v>142</v>
      </c>
      <c r="D64" s="12" t="s">
        <v>143</v>
      </c>
      <c r="E64" s="12"/>
      <c r="F64" s="11" t="s">
        <v>29</v>
      </c>
      <c r="G64" s="11">
        <v>1</v>
      </c>
      <c r="H64" s="13">
        <v>1400</v>
      </c>
      <c r="I64" s="13">
        <f t="shared" si="6"/>
        <v>1400</v>
      </c>
      <c r="J64" s="13">
        <v>1100</v>
      </c>
      <c r="K64" s="13">
        <f t="shared" si="7"/>
        <v>1100</v>
      </c>
      <c r="L64" s="13">
        <v>700</v>
      </c>
      <c r="M64" s="13">
        <f t="shared" si="8"/>
        <v>700</v>
      </c>
      <c r="N64" s="12" t="s">
        <v>144</v>
      </c>
    </row>
    <row r="65" ht="84" customHeight="1" spans="1:14">
      <c r="A65" s="11">
        <v>46</v>
      </c>
      <c r="B65" s="11" t="s">
        <v>140</v>
      </c>
      <c r="C65" s="12" t="s">
        <v>114</v>
      </c>
      <c r="D65" s="12" t="s">
        <v>115</v>
      </c>
      <c r="E65" s="12"/>
      <c r="F65" s="11" t="s">
        <v>29</v>
      </c>
      <c r="G65" s="11">
        <v>1</v>
      </c>
      <c r="H65" s="13">
        <v>2600</v>
      </c>
      <c r="I65" s="13">
        <f t="shared" si="6"/>
        <v>2600</v>
      </c>
      <c r="J65" s="13">
        <v>2100</v>
      </c>
      <c r="K65" s="13">
        <f t="shared" si="7"/>
        <v>2100</v>
      </c>
      <c r="L65" s="13">
        <v>1400</v>
      </c>
      <c r="M65" s="13">
        <f t="shared" si="8"/>
        <v>1400</v>
      </c>
      <c r="N65" s="12" t="s">
        <v>116</v>
      </c>
    </row>
    <row r="66" ht="43.2" customHeight="1" spans="1:14">
      <c r="A66" s="11">
        <v>47</v>
      </c>
      <c r="B66" s="11" t="s">
        <v>140</v>
      </c>
      <c r="C66" s="12" t="s">
        <v>117</v>
      </c>
      <c r="D66" s="12" t="s">
        <v>118</v>
      </c>
      <c r="E66" s="12"/>
      <c r="F66" s="11" t="s">
        <v>29</v>
      </c>
      <c r="G66" s="11">
        <v>1</v>
      </c>
      <c r="H66" s="13">
        <v>315</v>
      </c>
      <c r="I66" s="13">
        <f t="shared" si="6"/>
        <v>315</v>
      </c>
      <c r="J66" s="13">
        <v>280</v>
      </c>
      <c r="K66" s="13">
        <f t="shared" si="7"/>
        <v>280</v>
      </c>
      <c r="L66" s="13">
        <v>240</v>
      </c>
      <c r="M66" s="13">
        <f t="shared" si="8"/>
        <v>240</v>
      </c>
      <c r="N66" s="12" t="s">
        <v>116</v>
      </c>
    </row>
    <row r="67" ht="84" customHeight="1" spans="1:14">
      <c r="A67" s="11">
        <v>48</v>
      </c>
      <c r="B67" s="11" t="s">
        <v>140</v>
      </c>
      <c r="C67" s="12" t="s">
        <v>142</v>
      </c>
      <c r="D67" s="12" t="s">
        <v>143</v>
      </c>
      <c r="E67" s="12"/>
      <c r="F67" s="11" t="s">
        <v>29</v>
      </c>
      <c r="G67" s="11">
        <v>1</v>
      </c>
      <c r="H67" s="13">
        <v>1400</v>
      </c>
      <c r="I67" s="13">
        <f t="shared" si="6"/>
        <v>1400</v>
      </c>
      <c r="J67" s="13">
        <v>1100</v>
      </c>
      <c r="K67" s="13">
        <f t="shared" si="7"/>
        <v>1100</v>
      </c>
      <c r="L67" s="13">
        <v>700</v>
      </c>
      <c r="M67" s="13">
        <f t="shared" si="8"/>
        <v>700</v>
      </c>
      <c r="N67" s="12" t="s">
        <v>145</v>
      </c>
    </row>
    <row r="68" ht="54" customHeight="1" spans="1:14">
      <c r="A68" s="11">
        <v>49</v>
      </c>
      <c r="B68" s="11" t="s">
        <v>140</v>
      </c>
      <c r="C68" s="12" t="s">
        <v>146</v>
      </c>
      <c r="D68" s="12" t="s">
        <v>147</v>
      </c>
      <c r="E68" s="12"/>
      <c r="F68" s="11" t="s">
        <v>148</v>
      </c>
      <c r="G68" s="11">
        <v>2.88</v>
      </c>
      <c r="H68" s="13">
        <v>1200</v>
      </c>
      <c r="I68" s="13">
        <f t="shared" si="6"/>
        <v>3456</v>
      </c>
      <c r="J68" s="13">
        <v>960</v>
      </c>
      <c r="K68" s="13">
        <f t="shared" si="7"/>
        <v>2764.8</v>
      </c>
      <c r="L68" s="13">
        <v>360</v>
      </c>
      <c r="M68" s="13">
        <f t="shared" si="8"/>
        <v>1036.8</v>
      </c>
      <c r="N68" s="12" t="s">
        <v>149</v>
      </c>
    </row>
    <row r="69" ht="54" customHeight="1" spans="1:14">
      <c r="A69" s="11">
        <v>50</v>
      </c>
      <c r="B69" s="11" t="s">
        <v>140</v>
      </c>
      <c r="C69" s="12" t="s">
        <v>62</v>
      </c>
      <c r="D69" s="12" t="s">
        <v>63</v>
      </c>
      <c r="E69" s="12"/>
      <c r="F69" s="11" t="s">
        <v>29</v>
      </c>
      <c r="G69" s="11">
        <v>1</v>
      </c>
      <c r="H69" s="13">
        <v>198</v>
      </c>
      <c r="I69" s="13">
        <f t="shared" si="6"/>
        <v>198</v>
      </c>
      <c r="J69" s="13">
        <v>178.2</v>
      </c>
      <c r="K69" s="13">
        <f t="shared" si="7"/>
        <v>178.2</v>
      </c>
      <c r="L69" s="13">
        <v>119</v>
      </c>
      <c r="M69" s="13">
        <f t="shared" si="8"/>
        <v>119</v>
      </c>
      <c r="N69" s="12" t="s">
        <v>64</v>
      </c>
    </row>
    <row r="70" spans="1:14">
      <c r="A70" s="17" t="s">
        <v>150</v>
      </c>
      <c r="B70" s="9"/>
      <c r="C70" s="9"/>
      <c r="D70" s="9"/>
      <c r="E70" s="9"/>
      <c r="F70" s="9"/>
      <c r="G70" s="9"/>
      <c r="H70" s="10"/>
      <c r="I70" s="18">
        <f>IF(COUNT(I62:I69)=0,"",SUM(I62:I69))</f>
        <v>15969</v>
      </c>
      <c r="J70" s="17"/>
      <c r="K70" s="18">
        <f>IF(COUNT(K62:K69)=0,"",SUM(K62:K69))</f>
        <v>12823</v>
      </c>
      <c r="L70" s="17"/>
      <c r="M70" s="18">
        <f>IF(COUNT(M62:M69)=0,"",SUM(M62:M69))</f>
        <v>8295.8</v>
      </c>
      <c r="N70" s="17"/>
    </row>
    <row r="71" ht="24" customHeight="1" spans="1:14">
      <c r="A71" s="8" t="s">
        <v>151</v>
      </c>
      <c r="B71" s="9"/>
      <c r="C71" s="9"/>
      <c r="D71" s="9"/>
      <c r="E71" s="9"/>
      <c r="F71" s="9"/>
      <c r="G71" s="9"/>
      <c r="H71" s="9"/>
      <c r="I71" s="9"/>
      <c r="J71" s="9"/>
      <c r="K71" s="9"/>
      <c r="L71" s="9"/>
      <c r="M71" s="9"/>
      <c r="N71" s="10"/>
    </row>
    <row r="72" ht="43.2" customHeight="1" spans="1:14">
      <c r="A72" s="11">
        <v>51</v>
      </c>
      <c r="B72" s="11" t="s">
        <v>152</v>
      </c>
      <c r="C72" s="12" t="s">
        <v>81</v>
      </c>
      <c r="D72" s="12" t="s">
        <v>82</v>
      </c>
      <c r="E72" s="12"/>
      <c r="F72" s="11" t="s">
        <v>29</v>
      </c>
      <c r="G72" s="11">
        <v>1</v>
      </c>
      <c r="H72" s="13">
        <v>500</v>
      </c>
      <c r="I72" s="13">
        <f>IF(OR(G72="",H72=""),"",ROUND(G72*H72,2))</f>
        <v>500</v>
      </c>
      <c r="J72" s="13">
        <v>400</v>
      </c>
      <c r="K72" s="13">
        <f>IF(OR(G72="",J72=""),"",ROUND(G72*J72,2))</f>
        <v>400</v>
      </c>
      <c r="L72" s="13">
        <v>300</v>
      </c>
      <c r="M72" s="13">
        <f>IF(OR(G72="",L72=""),"",ROUND(G72*L72,2))</f>
        <v>300</v>
      </c>
      <c r="N72" s="12" t="s">
        <v>153</v>
      </c>
    </row>
    <row r="73" ht="43.2" customHeight="1" spans="1:14">
      <c r="A73" s="11">
        <v>52</v>
      </c>
      <c r="B73" s="11" t="s">
        <v>152</v>
      </c>
      <c r="C73" s="12" t="s">
        <v>154</v>
      </c>
      <c r="D73" s="12" t="s">
        <v>155</v>
      </c>
      <c r="E73" s="12"/>
      <c r="F73" s="11" t="s">
        <v>36</v>
      </c>
      <c r="G73" s="11">
        <v>4</v>
      </c>
      <c r="H73" s="13">
        <v>1176</v>
      </c>
      <c r="I73" s="13">
        <f>IF(OR(G73="",H73=""),"",ROUND(G73*H73,2))</f>
        <v>4704</v>
      </c>
      <c r="J73" s="13">
        <v>980</v>
      </c>
      <c r="K73" s="13">
        <f>IF(OR(G73="",J73=""),"",ROUND(G73*J73,2))</f>
        <v>3920</v>
      </c>
      <c r="L73" s="13">
        <v>760</v>
      </c>
      <c r="M73" s="13">
        <f>IF(OR(G73="",L73=""),"",ROUND(G73*L73,2))</f>
        <v>3040</v>
      </c>
      <c r="N73" s="12" t="s">
        <v>156</v>
      </c>
    </row>
    <row r="74" ht="120" customHeight="1" spans="1:14">
      <c r="A74" s="11">
        <v>53</v>
      </c>
      <c r="B74" s="11" t="s">
        <v>152</v>
      </c>
      <c r="C74" s="12" t="s">
        <v>157</v>
      </c>
      <c r="D74" s="12" t="s">
        <v>158</v>
      </c>
      <c r="E74" s="12"/>
      <c r="F74" s="11" t="s">
        <v>19</v>
      </c>
      <c r="G74" s="11">
        <v>1</v>
      </c>
      <c r="H74" s="13">
        <v>26800</v>
      </c>
      <c r="I74" s="13">
        <f>IF(OR(G74="",H74=""),"",ROUND(G74*H74,2))</f>
        <v>26800</v>
      </c>
      <c r="J74" s="13">
        <v>18760</v>
      </c>
      <c r="K74" s="13">
        <f>IF(OR(G74="",J74=""),"",ROUND(G74*J74,2))</f>
        <v>18760</v>
      </c>
      <c r="L74" s="13">
        <v>12300</v>
      </c>
      <c r="M74" s="13">
        <f>IF(OR(G74="",L74=""),"",ROUND(G74*L74,2))</f>
        <v>12300</v>
      </c>
      <c r="N74" s="12" t="s">
        <v>159</v>
      </c>
    </row>
    <row r="75" ht="120" customHeight="1" spans="1:14">
      <c r="A75" s="11">
        <v>54</v>
      </c>
      <c r="B75" s="11" t="s">
        <v>152</v>
      </c>
      <c r="C75" s="12" t="s">
        <v>160</v>
      </c>
      <c r="D75" s="12" t="s">
        <v>161</v>
      </c>
      <c r="E75" s="12"/>
      <c r="F75" s="11" t="s">
        <v>19</v>
      </c>
      <c r="G75" s="11">
        <v>1</v>
      </c>
      <c r="H75" s="13">
        <v>68000</v>
      </c>
      <c r="I75" s="13">
        <f>IF(OR(G75="",H75=""),"",ROUND(G75*H75,2))</f>
        <v>68000</v>
      </c>
      <c r="J75" s="13">
        <v>47600</v>
      </c>
      <c r="K75" s="13">
        <f>IF(OR(G75="",J75=""),"",ROUND(G75*J75,2))</f>
        <v>47600</v>
      </c>
      <c r="L75" s="13">
        <v>30000</v>
      </c>
      <c r="M75" s="13">
        <f>IF(OR(G75="",L75=""),"",ROUND(G75*L75,2))</f>
        <v>30000</v>
      </c>
      <c r="N75" s="12" t="s">
        <v>162</v>
      </c>
    </row>
    <row r="76" ht="54" customHeight="1" spans="1:14">
      <c r="A76" s="11">
        <v>55</v>
      </c>
      <c r="B76" s="11" t="s">
        <v>152</v>
      </c>
      <c r="C76" s="12" t="s">
        <v>101</v>
      </c>
      <c r="D76" s="12" t="s">
        <v>102</v>
      </c>
      <c r="E76" s="12"/>
      <c r="F76" s="11" t="s">
        <v>19</v>
      </c>
      <c r="G76" s="11">
        <v>2</v>
      </c>
      <c r="H76" s="13">
        <v>800</v>
      </c>
      <c r="I76" s="13">
        <f>IF(OR(G76="",H76=""),"",ROUND(G76*H76,2))</f>
        <v>1600</v>
      </c>
      <c r="J76" s="13">
        <v>640</v>
      </c>
      <c r="K76" s="13">
        <f>IF(OR(G76="",J76=""),"",ROUND(G76*J76,2))</f>
        <v>1280</v>
      </c>
      <c r="L76" s="13">
        <v>210</v>
      </c>
      <c r="M76" s="13">
        <f>IF(OR(G76="",L76=""),"",ROUND(G76*L76,2))</f>
        <v>420</v>
      </c>
      <c r="N76" s="12" t="s">
        <v>103</v>
      </c>
    </row>
    <row r="77" ht="42" customHeight="1" spans="1:14">
      <c r="A77" s="14">
        <v>56</v>
      </c>
      <c r="B77" s="14" t="s">
        <v>152</v>
      </c>
      <c r="C77" s="15" t="s">
        <v>136</v>
      </c>
      <c r="D77" s="15" t="s">
        <v>42</v>
      </c>
      <c r="E77" s="15"/>
      <c r="F77" s="14" t="s">
        <v>137</v>
      </c>
      <c r="G77" s="14">
        <v>1</v>
      </c>
      <c r="H77" s="16"/>
      <c r="I77" s="16"/>
      <c r="J77" s="16"/>
      <c r="K77" s="16"/>
      <c r="L77" s="16"/>
      <c r="M77" s="16"/>
      <c r="N77" s="15" t="s">
        <v>44</v>
      </c>
    </row>
    <row r="78" spans="1:14">
      <c r="A78" s="17" t="s">
        <v>163</v>
      </c>
      <c r="B78" s="9"/>
      <c r="C78" s="9"/>
      <c r="D78" s="9"/>
      <c r="E78" s="9"/>
      <c r="F78" s="9"/>
      <c r="G78" s="9"/>
      <c r="H78" s="10"/>
      <c r="I78" s="18">
        <f>IF(COUNT(I72:I77)=0,"",SUM(I72:I77))</f>
        <v>101604</v>
      </c>
      <c r="J78" s="17"/>
      <c r="K78" s="18">
        <f>IF(COUNT(K72:K77)=0,"",SUM(K72:K77))</f>
        <v>71960</v>
      </c>
      <c r="L78" s="17"/>
      <c r="M78" s="18">
        <f>IF(COUNT(M72:M77)=0,"",SUM(M72:M77))</f>
        <v>46060</v>
      </c>
      <c r="N78" s="17" t="s">
        <v>53</v>
      </c>
    </row>
    <row r="79" ht="24" customHeight="1" spans="1:14">
      <c r="A79" s="8" t="s">
        <v>164</v>
      </c>
      <c r="B79" s="9"/>
      <c r="C79" s="9"/>
      <c r="D79" s="9"/>
      <c r="E79" s="9"/>
      <c r="F79" s="9"/>
      <c r="G79" s="9"/>
      <c r="H79" s="9"/>
      <c r="I79" s="9"/>
      <c r="J79" s="9"/>
      <c r="K79" s="9"/>
      <c r="L79" s="9"/>
      <c r="M79" s="9"/>
      <c r="N79" s="10"/>
    </row>
    <row r="80" ht="54" customHeight="1" spans="1:14">
      <c r="A80" s="11">
        <v>57</v>
      </c>
      <c r="B80" s="11" t="s">
        <v>165</v>
      </c>
      <c r="C80" s="12" t="s">
        <v>166</v>
      </c>
      <c r="D80" s="12" t="s">
        <v>167</v>
      </c>
      <c r="E80" s="12"/>
      <c r="F80" s="11" t="s">
        <v>19</v>
      </c>
      <c r="G80" s="11">
        <v>1</v>
      </c>
      <c r="H80" s="13">
        <v>35000</v>
      </c>
      <c r="I80" s="13">
        <f t="shared" ref="I80:I89" si="9">IF(OR(G80="",H80=""),"",ROUND(G80*H80,2))</f>
        <v>35000</v>
      </c>
      <c r="J80" s="13">
        <v>24500</v>
      </c>
      <c r="K80" s="13">
        <f t="shared" ref="K80:K89" si="10">IF(OR(G80="",J80=""),"",ROUND(G80*J80,2))</f>
        <v>24500</v>
      </c>
      <c r="L80" s="13">
        <v>18500</v>
      </c>
      <c r="M80" s="13">
        <f t="shared" ref="M80:M89" si="11">IF(OR(G80="",L80=""),"",ROUND(G80*L80,2))</f>
        <v>18500</v>
      </c>
      <c r="N80" s="12" t="s">
        <v>168</v>
      </c>
    </row>
    <row r="81" ht="120" customHeight="1" spans="1:14">
      <c r="A81" s="11">
        <v>58</v>
      </c>
      <c r="B81" s="11" t="s">
        <v>165</v>
      </c>
      <c r="C81" s="12" t="s">
        <v>21</v>
      </c>
      <c r="D81" s="12" t="s">
        <v>22</v>
      </c>
      <c r="E81" s="12"/>
      <c r="F81" s="11" t="s">
        <v>19</v>
      </c>
      <c r="G81" s="11">
        <v>1</v>
      </c>
      <c r="H81" s="13">
        <v>8900</v>
      </c>
      <c r="I81" s="13">
        <f t="shared" si="9"/>
        <v>8900</v>
      </c>
      <c r="J81" s="13">
        <v>5785</v>
      </c>
      <c r="K81" s="13">
        <f t="shared" si="10"/>
        <v>5785</v>
      </c>
      <c r="L81" s="13">
        <v>3100</v>
      </c>
      <c r="M81" s="13">
        <f t="shared" si="11"/>
        <v>3100</v>
      </c>
      <c r="N81" s="12" t="s">
        <v>169</v>
      </c>
    </row>
    <row r="82" ht="84" customHeight="1" spans="1:14">
      <c r="A82" s="11">
        <v>59</v>
      </c>
      <c r="B82" s="11" t="s">
        <v>165</v>
      </c>
      <c r="C82" s="12" t="s">
        <v>114</v>
      </c>
      <c r="D82" s="12" t="s">
        <v>115</v>
      </c>
      <c r="E82" s="12"/>
      <c r="F82" s="11" t="s">
        <v>29</v>
      </c>
      <c r="G82" s="11">
        <v>1</v>
      </c>
      <c r="H82" s="13">
        <v>2600</v>
      </c>
      <c r="I82" s="13">
        <f t="shared" si="9"/>
        <v>2600</v>
      </c>
      <c r="J82" s="13">
        <v>2100</v>
      </c>
      <c r="K82" s="13">
        <f t="shared" si="10"/>
        <v>2100</v>
      </c>
      <c r="L82" s="13">
        <v>1400</v>
      </c>
      <c r="M82" s="13">
        <f t="shared" si="11"/>
        <v>1400</v>
      </c>
      <c r="N82" s="12" t="s">
        <v>141</v>
      </c>
    </row>
    <row r="83" ht="84" customHeight="1" spans="1:14">
      <c r="A83" s="11">
        <v>60</v>
      </c>
      <c r="B83" s="11" t="s">
        <v>165</v>
      </c>
      <c r="C83" s="12" t="s">
        <v>142</v>
      </c>
      <c r="D83" s="12" t="s">
        <v>143</v>
      </c>
      <c r="E83" s="12"/>
      <c r="F83" s="11" t="s">
        <v>29</v>
      </c>
      <c r="G83" s="11">
        <v>1</v>
      </c>
      <c r="H83" s="13">
        <v>1400</v>
      </c>
      <c r="I83" s="13">
        <f t="shared" si="9"/>
        <v>1400</v>
      </c>
      <c r="J83" s="13">
        <v>1100</v>
      </c>
      <c r="K83" s="13">
        <f t="shared" si="10"/>
        <v>1100</v>
      </c>
      <c r="L83" s="13">
        <v>700</v>
      </c>
      <c r="M83" s="13">
        <f t="shared" si="11"/>
        <v>700</v>
      </c>
      <c r="N83" s="12" t="s">
        <v>144</v>
      </c>
    </row>
    <row r="84" ht="43.2" customHeight="1" spans="1:14">
      <c r="A84" s="11">
        <v>61</v>
      </c>
      <c r="B84" s="11" t="s">
        <v>165</v>
      </c>
      <c r="C84" s="12" t="s">
        <v>117</v>
      </c>
      <c r="D84" s="12" t="s">
        <v>118</v>
      </c>
      <c r="E84" s="12"/>
      <c r="F84" s="11" t="s">
        <v>29</v>
      </c>
      <c r="G84" s="11">
        <v>1</v>
      </c>
      <c r="H84" s="13">
        <v>315</v>
      </c>
      <c r="I84" s="13">
        <f t="shared" si="9"/>
        <v>315</v>
      </c>
      <c r="J84" s="13">
        <v>280</v>
      </c>
      <c r="K84" s="13">
        <f t="shared" si="10"/>
        <v>280</v>
      </c>
      <c r="L84" s="13">
        <v>240</v>
      </c>
      <c r="M84" s="13">
        <f t="shared" si="11"/>
        <v>240</v>
      </c>
      <c r="N84" s="12" t="s">
        <v>170</v>
      </c>
    </row>
    <row r="85" ht="43.2" customHeight="1" spans="1:14">
      <c r="A85" s="11">
        <v>62</v>
      </c>
      <c r="B85" s="11" t="s">
        <v>165</v>
      </c>
      <c r="C85" s="12" t="s">
        <v>117</v>
      </c>
      <c r="D85" s="12" t="s">
        <v>118</v>
      </c>
      <c r="E85" s="12"/>
      <c r="F85" s="11" t="s">
        <v>29</v>
      </c>
      <c r="G85" s="11">
        <v>1</v>
      </c>
      <c r="H85" s="13">
        <v>315</v>
      </c>
      <c r="I85" s="13">
        <f t="shared" si="9"/>
        <v>315</v>
      </c>
      <c r="J85" s="13">
        <v>280</v>
      </c>
      <c r="K85" s="13">
        <f t="shared" si="10"/>
        <v>280</v>
      </c>
      <c r="L85" s="13">
        <v>240</v>
      </c>
      <c r="M85" s="13">
        <f t="shared" si="11"/>
        <v>240</v>
      </c>
      <c r="N85" s="12" t="s">
        <v>171</v>
      </c>
    </row>
    <row r="86" ht="120" customHeight="1" spans="1:14">
      <c r="A86" s="11">
        <v>63</v>
      </c>
      <c r="B86" s="11" t="s">
        <v>165</v>
      </c>
      <c r="C86" s="12" t="s">
        <v>172</v>
      </c>
      <c r="D86" s="12" t="s">
        <v>173</v>
      </c>
      <c r="E86" s="12"/>
      <c r="F86" s="11" t="s">
        <v>19</v>
      </c>
      <c r="G86" s="11">
        <v>1</v>
      </c>
      <c r="H86" s="13">
        <v>36800</v>
      </c>
      <c r="I86" s="13">
        <f t="shared" si="9"/>
        <v>36800</v>
      </c>
      <c r="J86" s="13">
        <v>25760</v>
      </c>
      <c r="K86" s="13">
        <f t="shared" si="10"/>
        <v>25760</v>
      </c>
      <c r="L86" s="13">
        <v>15000</v>
      </c>
      <c r="M86" s="13">
        <f t="shared" si="11"/>
        <v>15000</v>
      </c>
      <c r="N86" s="12" t="s">
        <v>174</v>
      </c>
    </row>
    <row r="87" ht="43.2" customHeight="1" spans="1:14">
      <c r="A87" s="11">
        <v>64</v>
      </c>
      <c r="B87" s="11" t="s">
        <v>165</v>
      </c>
      <c r="C87" s="12" t="s">
        <v>81</v>
      </c>
      <c r="D87" s="12" t="s">
        <v>82</v>
      </c>
      <c r="E87" s="12"/>
      <c r="F87" s="11" t="s">
        <v>29</v>
      </c>
      <c r="G87" s="11">
        <v>1</v>
      </c>
      <c r="H87" s="13">
        <v>500</v>
      </c>
      <c r="I87" s="13">
        <f t="shared" si="9"/>
        <v>500</v>
      </c>
      <c r="J87" s="13">
        <v>400</v>
      </c>
      <c r="K87" s="13">
        <f t="shared" si="10"/>
        <v>400</v>
      </c>
      <c r="L87" s="13">
        <v>300</v>
      </c>
      <c r="M87" s="13">
        <f t="shared" si="11"/>
        <v>300</v>
      </c>
      <c r="N87" s="12" t="s">
        <v>83</v>
      </c>
    </row>
    <row r="88" ht="54" customHeight="1" spans="1:14">
      <c r="A88" s="11">
        <v>65</v>
      </c>
      <c r="B88" s="11" t="s">
        <v>165</v>
      </c>
      <c r="C88" s="12" t="s">
        <v>101</v>
      </c>
      <c r="D88" s="12" t="s">
        <v>102</v>
      </c>
      <c r="E88" s="12"/>
      <c r="F88" s="11" t="s">
        <v>19</v>
      </c>
      <c r="G88" s="11">
        <v>2</v>
      </c>
      <c r="H88" s="13">
        <v>800</v>
      </c>
      <c r="I88" s="13">
        <f t="shared" si="9"/>
        <v>1600</v>
      </c>
      <c r="J88" s="13">
        <v>640</v>
      </c>
      <c r="K88" s="13">
        <f t="shared" si="10"/>
        <v>1280</v>
      </c>
      <c r="L88" s="13">
        <v>210</v>
      </c>
      <c r="M88" s="13">
        <f t="shared" si="11"/>
        <v>420</v>
      </c>
      <c r="N88" s="12" t="s">
        <v>103</v>
      </c>
    </row>
    <row r="89" ht="54" customHeight="1" spans="1:14">
      <c r="A89" s="11">
        <v>66</v>
      </c>
      <c r="B89" s="11" t="s">
        <v>165</v>
      </c>
      <c r="C89" s="12" t="s">
        <v>175</v>
      </c>
      <c r="D89" s="12" t="s">
        <v>176</v>
      </c>
      <c r="E89" s="12"/>
      <c r="F89" s="11" t="s">
        <v>148</v>
      </c>
      <c r="G89" s="11">
        <v>8.856</v>
      </c>
      <c r="H89" s="13">
        <v>330</v>
      </c>
      <c r="I89" s="13">
        <f t="shared" si="9"/>
        <v>2922.48</v>
      </c>
      <c r="J89" s="13">
        <v>264</v>
      </c>
      <c r="K89" s="13">
        <f t="shared" si="10"/>
        <v>2337.98</v>
      </c>
      <c r="L89" s="13">
        <v>170</v>
      </c>
      <c r="M89" s="13">
        <f t="shared" si="11"/>
        <v>1505.52</v>
      </c>
      <c r="N89" s="12" t="s">
        <v>177</v>
      </c>
    </row>
    <row r="90" ht="42" customHeight="1" spans="1:14">
      <c r="A90" s="14">
        <v>67</v>
      </c>
      <c r="B90" s="14" t="s">
        <v>165</v>
      </c>
      <c r="C90" s="15" t="s">
        <v>178</v>
      </c>
      <c r="D90" s="15" t="s">
        <v>42</v>
      </c>
      <c r="E90" s="15"/>
      <c r="F90" s="14" t="s">
        <v>43</v>
      </c>
      <c r="G90" s="14">
        <v>1</v>
      </c>
      <c r="H90" s="16"/>
      <c r="I90" s="16"/>
      <c r="J90" s="16"/>
      <c r="K90" s="16"/>
      <c r="L90" s="16"/>
      <c r="M90" s="16"/>
      <c r="N90" s="15" t="s">
        <v>44</v>
      </c>
    </row>
    <row r="91" spans="1:14">
      <c r="A91" s="17" t="s">
        <v>179</v>
      </c>
      <c r="B91" s="9"/>
      <c r="C91" s="9"/>
      <c r="D91" s="9"/>
      <c r="E91" s="9"/>
      <c r="F91" s="9"/>
      <c r="G91" s="9"/>
      <c r="H91" s="10"/>
      <c r="I91" s="18">
        <f>IF(COUNT(I80:I90)=0,"",SUM(I80:I90))</f>
        <v>90352.48</v>
      </c>
      <c r="J91" s="17"/>
      <c r="K91" s="18">
        <f>IF(COUNT(K80:K90)=0,"",SUM(K80:K90))</f>
        <v>63822.98</v>
      </c>
      <c r="L91" s="17"/>
      <c r="M91" s="18">
        <f>IF(COUNT(M80:M90)=0,"",SUM(M80:M90))</f>
        <v>41405.52</v>
      </c>
      <c r="N91" s="17" t="s">
        <v>53</v>
      </c>
    </row>
    <row r="92" ht="24" customHeight="1" spans="1:14">
      <c r="A92" s="8" t="s">
        <v>180</v>
      </c>
      <c r="B92" s="9"/>
      <c r="C92" s="9"/>
      <c r="D92" s="9"/>
      <c r="E92" s="9"/>
      <c r="F92" s="9"/>
      <c r="G92" s="9"/>
      <c r="H92" s="9"/>
      <c r="I92" s="9"/>
      <c r="J92" s="9"/>
      <c r="K92" s="9"/>
      <c r="L92" s="9"/>
      <c r="M92" s="9"/>
      <c r="N92" s="10"/>
    </row>
    <row r="93" ht="43.2" customHeight="1" spans="1:14">
      <c r="A93" s="11">
        <v>68</v>
      </c>
      <c r="B93" s="11" t="s">
        <v>181</v>
      </c>
      <c r="C93" s="12" t="s">
        <v>182</v>
      </c>
      <c r="D93" s="12" t="s">
        <v>183</v>
      </c>
      <c r="E93" s="12"/>
      <c r="F93" s="11" t="s">
        <v>19</v>
      </c>
      <c r="G93" s="11">
        <v>1</v>
      </c>
      <c r="H93" s="13">
        <v>49800</v>
      </c>
      <c r="I93" s="13">
        <f>IF(OR(G93="",H93=""),"",ROUND(G93*H93,2))</f>
        <v>49800</v>
      </c>
      <c r="J93" s="13">
        <v>19920</v>
      </c>
      <c r="K93" s="13">
        <f>IF(OR(G93="",J93=""),"",ROUND(G93*J93,2))</f>
        <v>19920</v>
      </c>
      <c r="L93" s="13">
        <v>4980</v>
      </c>
      <c r="M93" s="13">
        <f>IF(OR(G93="",L93=""),"",ROUND(G93*L93,2))</f>
        <v>4980</v>
      </c>
      <c r="N93" s="12" t="s">
        <v>184</v>
      </c>
    </row>
    <row r="94" ht="43.2" customHeight="1" spans="1:14">
      <c r="A94" s="11">
        <v>69</v>
      </c>
      <c r="B94" s="11" t="s">
        <v>181</v>
      </c>
      <c r="C94" s="12" t="s">
        <v>185</v>
      </c>
      <c r="D94" s="12" t="s">
        <v>186</v>
      </c>
      <c r="E94" s="12"/>
      <c r="F94" s="11" t="s">
        <v>19</v>
      </c>
      <c r="G94" s="11">
        <v>1</v>
      </c>
      <c r="H94" s="13">
        <v>39800</v>
      </c>
      <c r="I94" s="13">
        <f>IF(OR(G94="",H94=""),"",ROUND(G94*H94,2))</f>
        <v>39800</v>
      </c>
      <c r="J94" s="13">
        <v>15920</v>
      </c>
      <c r="K94" s="13">
        <f>IF(OR(G94="",J94=""),"",ROUND(G94*J94,2))</f>
        <v>15920</v>
      </c>
      <c r="L94" s="13">
        <v>3980</v>
      </c>
      <c r="M94" s="13">
        <f>IF(OR(G94="",L94=""),"",ROUND(G94*L94,2))</f>
        <v>3980</v>
      </c>
      <c r="N94" s="12" t="s">
        <v>184</v>
      </c>
    </row>
    <row r="95" ht="43.2" customHeight="1" spans="1:14">
      <c r="A95" s="11">
        <v>70</v>
      </c>
      <c r="B95" s="11" t="s">
        <v>181</v>
      </c>
      <c r="C95" s="12" t="s">
        <v>187</v>
      </c>
      <c r="D95" s="12" t="s">
        <v>188</v>
      </c>
      <c r="E95" s="12"/>
      <c r="F95" s="11" t="s">
        <v>19</v>
      </c>
      <c r="G95" s="11">
        <v>1</v>
      </c>
      <c r="H95" s="13">
        <v>39800</v>
      </c>
      <c r="I95" s="13">
        <f>IF(OR(G95="",H95=""),"",ROUND(G95*H95,2))</f>
        <v>39800</v>
      </c>
      <c r="J95" s="13">
        <v>15920</v>
      </c>
      <c r="K95" s="13">
        <f>IF(OR(G95="",J95=""),"",ROUND(G95*J95,2))</f>
        <v>15920</v>
      </c>
      <c r="L95" s="13">
        <v>3980</v>
      </c>
      <c r="M95" s="13">
        <f>IF(OR(G95="",L95=""),"",ROUND(G95*L95,2))</f>
        <v>3980</v>
      </c>
      <c r="N95" s="12" t="s">
        <v>184</v>
      </c>
    </row>
    <row r="96" ht="43.2" customHeight="1" spans="1:14">
      <c r="A96" s="11">
        <v>71</v>
      </c>
      <c r="B96" s="11" t="s">
        <v>181</v>
      </c>
      <c r="C96" s="12" t="s">
        <v>189</v>
      </c>
      <c r="D96" s="12" t="s">
        <v>190</v>
      </c>
      <c r="E96" s="12"/>
      <c r="F96" s="11" t="s">
        <v>19</v>
      </c>
      <c r="G96" s="11">
        <v>1</v>
      </c>
      <c r="H96" s="13">
        <v>46800</v>
      </c>
      <c r="I96" s="13">
        <f>IF(OR(G96="",H96=""),"",ROUND(G96*H96,2))</f>
        <v>46800</v>
      </c>
      <c r="J96" s="13">
        <v>18720</v>
      </c>
      <c r="K96" s="13">
        <f>IF(OR(G96="",J96=""),"",ROUND(G96*J96,2))</f>
        <v>18720</v>
      </c>
      <c r="L96" s="13">
        <v>4680</v>
      </c>
      <c r="M96" s="13">
        <f>IF(OR(G96="",L96=""),"",ROUND(G96*L96,2))</f>
        <v>4680</v>
      </c>
      <c r="N96" s="12" t="s">
        <v>184</v>
      </c>
    </row>
    <row r="97" spans="1:14">
      <c r="A97" s="17" t="s">
        <v>191</v>
      </c>
      <c r="B97" s="9"/>
      <c r="C97" s="9"/>
      <c r="D97" s="9"/>
      <c r="E97" s="9"/>
      <c r="F97" s="9"/>
      <c r="G97" s="9"/>
      <c r="H97" s="10"/>
      <c r="I97" s="18">
        <f>IF(COUNT(I93:I96)=0,"",SUM(I93:I96))</f>
        <v>176200</v>
      </c>
      <c r="J97" s="17"/>
      <c r="K97" s="18">
        <f>IF(COUNT(K93:K96)=0,"",SUM(K93:K96))</f>
        <v>70480</v>
      </c>
      <c r="L97" s="17"/>
      <c r="M97" s="18">
        <f>IF(COUNT(M93:M96)=0,"",SUM(M93:M96))</f>
        <v>17620</v>
      </c>
      <c r="N97" s="17"/>
    </row>
    <row r="98" spans="1:14">
      <c r="A98" s="17" t="s">
        <v>192</v>
      </c>
      <c r="B98" s="9"/>
      <c r="C98" s="9"/>
      <c r="D98" s="9"/>
      <c r="E98" s="9"/>
      <c r="F98" s="9"/>
      <c r="G98" s="9"/>
      <c r="H98" s="10"/>
      <c r="I98" s="18">
        <f>SUM(I14,I17,I20,I28,I39,I45,I52,I60,I70,I78,I91,I97)</f>
        <v>1007221.48</v>
      </c>
      <c r="J98" s="17"/>
      <c r="K98" s="18">
        <f>SUM(K14,K17,K20,K28,K39,K45,K52,K60,K70,K78,K91,K97)</f>
        <v>646626.18</v>
      </c>
      <c r="L98" s="17"/>
      <c r="M98" s="18">
        <f>SUM(M14,M17,M20,M28,M39,M45,M52,M60,M70,M78,M91,M97)</f>
        <v>335500.32</v>
      </c>
      <c r="N98" s="17"/>
    </row>
    <row r="100" ht="55" customHeight="1" spans="1:14">
      <c r="A100" s="21" t="s">
        <v>193</v>
      </c>
    </row>
  </sheetData>
  <mergeCells count="27">
    <mergeCell ref="A1:N1"/>
    <mergeCell ref="A3:N3"/>
    <mergeCell ref="A14:H14"/>
    <mergeCell ref="A15:N15"/>
    <mergeCell ref="A17:H17"/>
    <mergeCell ref="A18:N18"/>
    <mergeCell ref="A20:H20"/>
    <mergeCell ref="A21:N21"/>
    <mergeCell ref="A28:H28"/>
    <mergeCell ref="A29:N29"/>
    <mergeCell ref="A39:H39"/>
    <mergeCell ref="A40:N40"/>
    <mergeCell ref="A45:H45"/>
    <mergeCell ref="A46:N46"/>
    <mergeCell ref="A52:H52"/>
    <mergeCell ref="A53:N53"/>
    <mergeCell ref="A60:H60"/>
    <mergeCell ref="A61:N61"/>
    <mergeCell ref="A70:H70"/>
    <mergeCell ref="A71:N71"/>
    <mergeCell ref="A78:H78"/>
    <mergeCell ref="A79:N79"/>
    <mergeCell ref="A91:H91"/>
    <mergeCell ref="A92:N92"/>
    <mergeCell ref="A97:H97"/>
    <mergeCell ref="A98:H98"/>
    <mergeCell ref="A100:N100"/>
  </mergeCells>
  <pageMargins left="0.7" right="0.7" top="0.75" bottom="0.75" header="0.3" footer="0.3"/>
  <pageSetup paperSize="9" fitToHeight="0" orientation="portrait"/>
  <headerFooter>
    <oddFooter>&amp;C第 &amp;P 页，共 &amp;N 页&amp;R安康二中生涯心理学生发展中心</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3"/>
  <sheetViews>
    <sheetView showGridLines="0" workbookViewId="0">
      <pane ySplit="2" topLeftCell="A3" activePane="bottomLeft" state="frozen"/>
      <selection/>
      <selection pane="bottomLeft" activeCell="G13" sqref="G13"/>
    </sheetView>
  </sheetViews>
  <sheetFormatPr defaultColWidth="9" defaultRowHeight="13.5" outlineLevelCol="7"/>
  <cols>
    <col min="1" max="1" width="7" customWidth="1"/>
    <col min="2" max="2" width="24" customWidth="1"/>
    <col min="3" max="3" width="20" customWidth="1"/>
    <col min="4" max="5" width="8" customWidth="1"/>
    <col min="6" max="6" width="20" customWidth="1"/>
    <col min="7" max="7" width="42" customWidth="1"/>
    <col min="8" max="8" width="34" customWidth="1"/>
  </cols>
  <sheetData>
    <row r="1" ht="28" customHeight="1" spans="1:8">
      <c r="A1" s="1" t="s">
        <v>194</v>
      </c>
    </row>
    <row r="2" ht="24" customHeight="1" spans="1:8">
      <c r="A2" s="2" t="s">
        <v>1</v>
      </c>
      <c r="B2" s="2" t="s">
        <v>2</v>
      </c>
      <c r="C2" s="2" t="s">
        <v>195</v>
      </c>
      <c r="D2" s="2" t="s">
        <v>6</v>
      </c>
      <c r="E2" s="2" t="s">
        <v>7</v>
      </c>
      <c r="F2" s="2" t="s">
        <v>4</v>
      </c>
      <c r="G2" s="2" t="s">
        <v>196</v>
      </c>
      <c r="H2" s="2" t="s">
        <v>197</v>
      </c>
    </row>
    <row r="3" ht="34" customHeight="1" spans="1:8">
      <c r="A3" s="3">
        <v>1</v>
      </c>
      <c r="B3" s="4" t="s">
        <v>16</v>
      </c>
      <c r="C3" s="4" t="s">
        <v>41</v>
      </c>
      <c r="D3" s="3" t="s">
        <v>43</v>
      </c>
      <c r="E3" s="3">
        <v>2</v>
      </c>
      <c r="F3" s="4" t="s">
        <v>42</v>
      </c>
      <c r="G3" s="4" t="s">
        <v>198</v>
      </c>
      <c r="H3" s="4" t="s">
        <v>199</v>
      </c>
    </row>
    <row r="4" ht="34" customHeight="1" spans="1:8">
      <c r="A4" s="3">
        <v>2</v>
      </c>
      <c r="B4" s="4" t="s">
        <v>16</v>
      </c>
      <c r="C4" s="4" t="s">
        <v>45</v>
      </c>
      <c r="D4" s="3" t="s">
        <v>19</v>
      </c>
      <c r="E4" s="3">
        <v>1</v>
      </c>
      <c r="F4" s="4" t="s">
        <v>42</v>
      </c>
      <c r="G4" s="4" t="s">
        <v>200</v>
      </c>
      <c r="H4" s="4" t="s">
        <v>199</v>
      </c>
    </row>
    <row r="5" ht="34" customHeight="1" spans="1:8">
      <c r="A5" s="3">
        <v>3</v>
      </c>
      <c r="B5" s="4" t="s">
        <v>16</v>
      </c>
      <c r="C5" s="4" t="s">
        <v>46</v>
      </c>
      <c r="D5" s="3" t="s">
        <v>19</v>
      </c>
      <c r="E5" s="3">
        <v>2</v>
      </c>
      <c r="F5" s="4" t="s">
        <v>42</v>
      </c>
      <c r="G5" s="4" t="s">
        <v>201</v>
      </c>
      <c r="H5" s="4" t="s">
        <v>199</v>
      </c>
    </row>
    <row r="6" ht="34" customHeight="1" spans="1:8">
      <c r="A6" s="3">
        <v>4</v>
      </c>
      <c r="B6" s="4" t="s">
        <v>50</v>
      </c>
      <c r="C6" s="4" t="s">
        <v>51</v>
      </c>
      <c r="D6" s="3" t="s">
        <v>43</v>
      </c>
      <c r="E6" s="3">
        <v>1</v>
      </c>
      <c r="F6" s="4" t="s">
        <v>42</v>
      </c>
      <c r="G6" s="4" t="s">
        <v>202</v>
      </c>
      <c r="H6" s="4" t="s">
        <v>199</v>
      </c>
    </row>
    <row r="7" ht="34" customHeight="1" spans="1:8">
      <c r="A7" s="3">
        <v>5</v>
      </c>
      <c r="B7" s="4" t="s">
        <v>80</v>
      </c>
      <c r="C7" s="4" t="s">
        <v>93</v>
      </c>
      <c r="D7" s="3" t="s">
        <v>43</v>
      </c>
      <c r="E7" s="3">
        <v>1</v>
      </c>
      <c r="F7" s="4" t="s">
        <v>42</v>
      </c>
      <c r="G7" s="4" t="s">
        <v>203</v>
      </c>
      <c r="H7" s="4" t="s">
        <v>199</v>
      </c>
    </row>
    <row r="8" ht="34" customHeight="1" spans="1:8">
      <c r="A8" s="3">
        <v>6</v>
      </c>
      <c r="B8" s="4" t="s">
        <v>80</v>
      </c>
      <c r="C8" s="4" t="s">
        <v>94</v>
      </c>
      <c r="D8" s="3" t="s">
        <v>29</v>
      </c>
      <c r="E8" s="3">
        <v>2</v>
      </c>
      <c r="F8" s="4" t="s">
        <v>42</v>
      </c>
      <c r="G8" s="4" t="s">
        <v>204</v>
      </c>
      <c r="H8" s="4" t="s">
        <v>199</v>
      </c>
    </row>
    <row r="9" ht="34" customHeight="1" spans="1:8">
      <c r="A9" s="3">
        <v>7</v>
      </c>
      <c r="B9" s="4" t="s">
        <v>80</v>
      </c>
      <c r="C9" s="4" t="s">
        <v>95</v>
      </c>
      <c r="D9" s="3" t="s">
        <v>43</v>
      </c>
      <c r="E9" s="3">
        <v>1</v>
      </c>
      <c r="F9" s="4" t="s">
        <v>42</v>
      </c>
      <c r="G9" s="4" t="s">
        <v>205</v>
      </c>
      <c r="H9" s="4" t="s">
        <v>199</v>
      </c>
    </row>
    <row r="10" ht="34" customHeight="1" spans="1:8">
      <c r="A10" s="3">
        <v>8</v>
      </c>
      <c r="B10" s="4" t="s">
        <v>80</v>
      </c>
      <c r="C10" s="4" t="s">
        <v>96</v>
      </c>
      <c r="D10" s="3" t="s">
        <v>19</v>
      </c>
      <c r="E10" s="3">
        <v>1</v>
      </c>
      <c r="F10" s="4" t="s">
        <v>42</v>
      </c>
      <c r="G10" s="4" t="s">
        <v>206</v>
      </c>
      <c r="H10" s="4" t="s">
        <v>199</v>
      </c>
    </row>
    <row r="11" ht="34" customHeight="1" spans="1:8">
      <c r="A11" s="3">
        <v>9</v>
      </c>
      <c r="B11" s="4" t="s">
        <v>127</v>
      </c>
      <c r="C11" s="4" t="s">
        <v>136</v>
      </c>
      <c r="D11" s="3" t="s">
        <v>137</v>
      </c>
      <c r="E11" s="3">
        <v>1</v>
      </c>
      <c r="F11" s="4" t="s">
        <v>42</v>
      </c>
      <c r="G11" s="4" t="s">
        <v>207</v>
      </c>
      <c r="H11" s="4" t="s">
        <v>199</v>
      </c>
    </row>
    <row r="12" ht="34" customHeight="1" spans="1:8">
      <c r="A12" s="3">
        <v>10</v>
      </c>
      <c r="B12" s="4" t="s">
        <v>152</v>
      </c>
      <c r="C12" s="4" t="s">
        <v>136</v>
      </c>
      <c r="D12" s="3" t="s">
        <v>137</v>
      </c>
      <c r="E12" s="3">
        <v>1</v>
      </c>
      <c r="F12" s="4" t="s">
        <v>42</v>
      </c>
      <c r="G12" s="4" t="s">
        <v>208</v>
      </c>
      <c r="H12" s="4" t="s">
        <v>199</v>
      </c>
    </row>
    <row r="13" ht="34" customHeight="1" spans="1:8">
      <c r="A13" s="3">
        <v>11</v>
      </c>
      <c r="B13" s="4" t="s">
        <v>165</v>
      </c>
      <c r="C13" s="4" t="s">
        <v>178</v>
      </c>
      <c r="D13" s="3" t="s">
        <v>43</v>
      </c>
      <c r="E13" s="3">
        <v>1</v>
      </c>
      <c r="F13" s="4" t="s">
        <v>42</v>
      </c>
      <c r="G13" s="4" t="s">
        <v>209</v>
      </c>
      <c r="H13" s="4" t="s">
        <v>199</v>
      </c>
    </row>
  </sheetData>
  <mergeCells count="1">
    <mergeCell ref="A1:H1"/>
  </mergeCells>
  <pageMargins left="0.25" right="0.25" top="0.4" bottom="0.4" header="0.5" footer="0.5"/>
  <pageSetup paperSize="9" orientation="landscape"/>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配置清单</vt:lpstr>
      <vt:lpstr>未匹配需求汇总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Jacob</cp:lastModifiedBy>
  <dcterms:created xsi:type="dcterms:W3CDTF">2006-09-16T00:00:00Z</dcterms:created>
  <dcterms:modified xsi:type="dcterms:W3CDTF">2026-07-23T03:54:02Z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5D7143FDF3724D64BA86A2E0A6C3F392_12</vt:lpwstr>
  </property>
  <property fmtid="{D5CDD505-2E9C-101B-9397-08002B2CF9AE}" pid="3" name="KSOProductBuildVer">
    <vt:lpwstr>2052-12.1.0.26899</vt:lpwstr>
  </property>
  <property fmtid="{D5CDD505-2E9C-101B-9397-08002B2CF9AE}" pid="4" name="CalculationRule">
    <vt:i4>0</vt:i4>
  </property>
</Properties>
</file>